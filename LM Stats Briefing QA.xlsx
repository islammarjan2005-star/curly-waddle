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24226"/>
  <mc:AlternateContent xmlns:mc="http://schemas.openxmlformats.org/markup-compatibility/2006">
    <mc:Choice Requires="x15">
      <x15ac:absPath xmlns:x15ac="http://schemas.microsoft.com/office/spreadsheetml/2010/11/ac" url="C:\Users\MarzanulISLAM(DBT)\Downloads\"/>
    </mc:Choice>
  </mc:AlternateContent>
  <xr:revisionPtr revIDLastSave="0" documentId="8_{5CD879D4-20A6-43BC-AAF3-D2FBF4F61660}" xr6:coauthVersionLast="47" xr6:coauthVersionMax="47" xr10:uidLastSave="{00000000-0000-0000-0000-000000000000}"/>
  <bookViews>
    <workbookView xWindow="-110" yWindow="-110" windowWidth="19420" windowHeight="10300" activeTab="1" xr2:uid="{00000000-000D-0000-FFFF-FFFF00000000}"/>
  </bookViews>
  <sheets>
    <sheet name="Controls" sheetId="1" r:id="rId1"/>
    <sheet name="AQA Log" sheetId="2" r:id="rId2"/>
  </sheets>
  <externalReferences>
    <externalReference r:id="rId3"/>
  </externalReferences>
  <definedNames>
    <definedName name="AnalysisType">[1]Ref!$Q$5:$Q$8</definedName>
    <definedName name="Defs">#REF!</definedName>
    <definedName name="ProjectStage">[1]Ref!$W$5:$W$8</definedName>
    <definedName name="QALevel">[1]Ref!$O$5:$O$10</definedName>
    <definedName name="RiskLevel">[1]Ref!$B$5:$B$7</definedName>
    <definedName name="RSLevel">#REF!</definedName>
    <definedName name="YesNo">[1]Ref!$I$5:$I$6</definedName>
    <definedName name="YesNoNA">[1]Ref!$I$5:$I$7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<sst xmlns="http://schemas.openxmlformats.org/spreadsheetml/2006/main" count="148" uniqueCount="139">
  <si>
    <t>AQA Log</t>
  </si>
  <si>
    <t>Development Testing</t>
  </si>
  <si>
    <t>Checks Complete?</t>
  </si>
  <si>
    <t>Yes</t>
  </si>
  <si>
    <t>Check has been completed as specified; no issues were identified which require clarification or follow-up.</t>
  </si>
  <si>
    <t>Recommendation</t>
  </si>
  <si>
    <t>Check has been completed as specified; no issues have been found but recommendations have been made for improvements.</t>
  </si>
  <si>
    <t>Issue</t>
  </si>
  <si>
    <t>Check has been performed as specified but requires some clarification or follow-up to be resolved.</t>
  </si>
  <si>
    <t>Outstanding</t>
  </si>
  <si>
    <t xml:space="preserve">Check has not been performed. </t>
  </si>
  <si>
    <t>Version</t>
  </si>
  <si>
    <t>Item / File</t>
  </si>
  <si>
    <t>Elements to Check</t>
  </si>
  <si>
    <t>Details of Checks Performed</t>
  </si>
  <si>
    <t>Reviewer</t>
  </si>
  <si>
    <t>Checks Completed?</t>
  </si>
  <si>
    <t>Comments / Issues</t>
  </si>
  <si>
    <t>Detail of Follow-up Action</t>
  </si>
  <si>
    <t>Action Owner</t>
  </si>
  <si>
    <t>Action Due Date</t>
  </si>
  <si>
    <t>Follow-up Action Complete?</t>
  </si>
  <si>
    <t>Version Action completed (and comments)</t>
  </si>
  <si>
    <t>Related Documentation</t>
  </si>
  <si>
    <t>v0.1</t>
  </si>
  <si>
    <t>Controls</t>
  </si>
  <si>
    <t>NB: Please refer to the Department's Quality Assurance Framework for information on how to use this template</t>
  </si>
  <si>
    <t>Overview</t>
  </si>
  <si>
    <t>Lead Analyst(s)</t>
  </si>
  <si>
    <t>Marjan Islam</t>
  </si>
  <si>
    <t>Commissioner</t>
  </si>
  <si>
    <t>Assurer (and Approver)</t>
  </si>
  <si>
    <t>&lt;name&gt;</t>
  </si>
  <si>
    <t>Peer Reviewer(s)</t>
  </si>
  <si>
    <t>Purpose</t>
  </si>
  <si>
    <t>&lt;Brief description of the purpose of the analysis&gt;</t>
  </si>
  <si>
    <t>Contents</t>
  </si>
  <si>
    <t>Worksheet</t>
  </si>
  <si>
    <t>Description</t>
  </si>
  <si>
    <t>Mandatory - to record the checks performed, and to document checks which need to be performed before analysis is signed-off. This document should also act as a record for checks that cannot be completed e.g. due to time or resource constraints.</t>
  </si>
  <si>
    <t>Stakeholder Log</t>
  </si>
  <si>
    <t>Optional - to record engagement with stakeholders and to confirm analysis meets stakeholder needs</t>
  </si>
  <si>
    <t>Data Register</t>
  </si>
  <si>
    <t>Optional - to record information about the data sources(s) and / or variable(s) used in a piece of analysis.</t>
  </si>
  <si>
    <t>Assumptions Register</t>
  </si>
  <si>
    <t>Optional - to record information about the assumptions made in a piece of analysis.</t>
  </si>
  <si>
    <t>Latest Agreed Version</t>
  </si>
  <si>
    <t>Date of Sign-Off</t>
  </si>
  <si>
    <t>Version Control</t>
  </si>
  <si>
    <t>Based on Version</t>
  </si>
  <si>
    <t>Date</t>
  </si>
  <si>
    <t>Analyst</t>
  </si>
  <si>
    <t>Description of Changes</t>
  </si>
  <si>
    <t>Impact of Changes</t>
  </si>
  <si>
    <t>Comments</t>
  </si>
  <si>
    <t>Joe Bloggs</t>
  </si>
  <si>
    <t>Initial version of workbook</t>
  </si>
  <si>
    <t>n/a</t>
  </si>
  <si>
    <t>Refreshed with latest available data</t>
  </si>
  <si>
    <t>Results increased by 10%</t>
  </si>
  <si>
    <t>Latest data replaces previous estimates, and is higher so has increased results</t>
  </si>
  <si>
    <t>PRIMARY PATH. Test with actual March 2026 ONS release files.
1) Upload A01 → confirm green 'A01 ✓' badge appears
2) Upload HR1 → confirm 'HR1 ✓' badge
3) Upload X09 → confirm 'X09 ✓' badge
4) Upload RTISA → confirm 'RTISA ✓' badge
5) Upload CLA01 → confirm 'CLA01 ✓' badge
6) Upload OECD unemployment file → confirm 'OECD UNEMP ✓' badge
7) Upload OECD employment file → confirm 'OECD EMP ✓' badge
8) Upload OECD inactivity file → confirm 'OECD INACT ✓' badge
9) Confirm reference month updates to 'Reference month: March 2026' after A01 upload
10) Upload a completely wrong file type → confirm no badge shown, app does not crash</t>
  </si>
  <si>
    <t>1) Rename A01 to 'march_release.xlsx' (no 'a01' in name) — upload and confirm detected correctly via sheet content fallback
2) Rename RTISA to 'payroll_data.xlsx' — upload and confirm detected correctly
3) Upload an OECD file with a machine-generated name (e.g. 'OECD.SDD.TPS...csv') — confirm content-based detection works and correct metric type identified (unemp/emp/inact)
4) Upload HR1 with name 'hr_one.xlsx' — confirm detected via sheet inspection fallback
5) Upload a non-ONS Excel file (e.g. internal spreadsheet) — confirm app does not crash and shows informative message</t>
  </si>
  <si>
    <t>1) Upload A01 + RTISA 
2) Confirm payroll period buttons appear and default to latest
3) Preview Top Ten → confirm payroll flash figure (line 2) populated
4) Spot-check payroll_flash value: open RTISA, find latest period row, read payrolled employees figure — confirm matches app output
5) Confirm HR1-dependent lines (redundancy) show  placeholder, not crash
6) Download Word → confirm payroll section populated, redundancy section gracefully absent</t>
  </si>
  <si>
    <t>1) Upload A01 + HR1 only
2) Preview Dashboard → confirm redundancy rate and level render
3) Spot-check redundancy rate: open HR1 Sheet 1a, find latest period, read rate per 1,000 — confirm matches app redund_cur
4) Spot-check redundancy level: HR1 Sheet 1a, level column — confirm matches app redund_level_cur
5) Confirm payroll-dependent lines gracefully absent from Top Ten</t>
  </si>
  <si>
    <t xml:space="preserve">1) Upload RTISA renamed to look like A01 — confirm app either detects correct type via content or shows clear error
3) Upload an A01 from a different release year (e.g. 2020) — confirm calculations still run, reference month reflects file's actual date not current date
</t>
  </si>
  <si>
    <t>1) Upload A01 → confirm two vacancies period buttons appear
2) Open A01 Sheet 19 — confirm button labels match the two most recent period row labels exactly (e.g. 'Nov-Jan 2026' and 'Dec-Feb 2026')
3) Confirm LATEST period button is highlighted/active by default
4) Click aligned period button → confirm it becomes active in doc
5) With aligned selected: Preview Dashboard → confirm vacancies figure is aligned period value
6) With latest selected: Preview Dashboard → confirm vacancies figure is latest period value
7) Confirm selected period label appears in Top Ten output text
8) Confirm selected period label appears in downloaded Word document</t>
  </si>
  <si>
    <t>1) Upload RTISA → confirm two payroll period buttons appear
2) Open RTISA — confirm button labels match actual period strings in file
3) Confirm LATEST period button is highlighted by default
4) Switch to aligned → confirm payroll flash figure updates in Preview Top Ten
5) Switch back to latest → confirm figure reverts
6) Confirm payroll_flash_label present in Top Ten output text
7) Confirm payroll buttons do not appear until RTISA uploaded</t>
  </si>
  <si>
    <t>Using the actual March 2026 A01: open Sheet 1, find the row matching the latest LFS period label (e.g. 'Oct-Dec 2025'). Read each cell and compare to the corresponding app variable shown in Preview Dashboard.
• Col D (4):  Employment level 16+ (000s)    → app: emp16_cur
• Col E (5):  Unemployment level 16+ (000s)  → app: unemp16_cur
• Col I (9):  Unemployment rate 16+ (%)      → app: unemp_rt_cur
• Col O (15): Inactivity level 16-64 (000s)  → app: inact_cur
• Col Q (17): Employment rate 16-64 (%)      → app: emp_rt_cur
• Col S (19): Inactivity rate 16-64 (%)      → app: inact_rt_cur
Also verify comparison periods: find the row for prevs quarter and same period last year — confirm _dq and _dy values match.
Any discrepancy =  offset bug in .lfs_metric().</t>
  </si>
  <si>
    <t>Using March 2026 A01: open Sheet 2, find the latest period row.
• Col BD (56): Inactivity level 50-64 (000s)  → app: inact5064_cur
• Col BE (57): Inactivity rate 50-64 (%)       → app: inact5064_rt_cur
Confirm _dq and _dy comparison values also correct.
Confirm period string format in Sheet 2 is consistent with Sheet 1.</t>
  </si>
  <si>
    <t>Using March 2026 A01: open Sheet 10, find the latest period row.
• Col B (2): Redundancy level (000s)      → app: redund_level_cur
• Col C (3): Redundancy rate per 1,000    → app: redund_cur
Confirm _dq and _dy comparison values correct.
Note: Sheet 10 period labels may differ in format — confirm .lfs_label() produces a matching string.</t>
  </si>
  <si>
    <t>Using March 2026 A01: open Sheet 13.
• Col B (2): Weekly £ total pay               → used in wages_change_q/y/covid/election
• Col D (4): 3-month avg YoY %               → app: latest_wages
• KAC6 col:  Private sector YoY %            → app: wages_total_private
• KAC9 col:  Public sector YoY %             → app: wages_total_public
For private/public: code uses .find_col_by_code() to locate column by scanning header rows for ONS code. Open Sheet 13, scan header rows for 'KAC6' and 'KAC9' — confirm columns found match fallback_col values (7 and 10). If ONS moved columns in March release, these will be wrong.</t>
  </si>
  <si>
    <t>Using March 2026 A01: open Sheet 15.
• Col D (4): 3-month avg YoY % regular pay   → app: latest_regular_cash
• KAJ7 col:  Public sector regular YoY %     → app: wages_reg_public
Verify KAJ7 column location in March release matches fallback value in code.</t>
  </si>
  <si>
    <t xml:space="preserve">Using March 2026 A01: open Sheet 19.
• Find row matching aligned period label → Col C (3) = vac_cur (aligned)
• Find row matching latest period label  → Col C (3) = vac_cur (latest)
Confirm both row labels exactly match the period selector button labels in the app.
</t>
  </si>
  <si>
    <t>Using March 2026 RTISA:
1) Confirm sheet '1. Payrolled employees (SA)' or equiv exists and is detected
2) Find latest period row — confirm period label matches payroll button label exactly
3) Read payrolled employees figure — confirm matches app payroll_flash in Preview Top Ten
4) Find previous month row — confirm payroll_flash_dm (month-on-month) correct
5) Find same month last year row — confirm payroll_flash_dy (year-on-year) correct
6) Open sector tabs — spot-check hosp_dy, retail_dy, health_dy against RTISA sector sheets
7) Confirm period label matches payroll_flash_label in output text</t>
  </si>
  <si>
    <t>Using March 2026 HR1:
1) Open Sheet '1a' — confirm exists and detected
2) Find latest period row
3) Col B: redundancy level (000s) → confirm matches app redund_level_cur
4) Col C: redundancy rate per 1,000 → confirm matches app redund_cur
5) Confirm .validate_excel() check on HR1 passes (checks for sheet '1a')</t>
  </si>
  <si>
    <t>Using March 2026 X09:
1) Confirm sheet 'AWE Real_CPI' exists and detected
2) Find latest period row — spot-check real wages figure
3) Confirm real wage change on year correct
4) Without X09 uploaded: confirm app fallsback gracefully (NA values, no crsh, no unfilled placeholders in Word)</t>
  </si>
  <si>
    <t>Upload all files (A01, HR1, RTISA, X09, CLA01). Click Preview Dashboard.
1) Confirm all metric rows populated — no blank or NA values
2) Spot-check at least 6 figures against source files manually (use column mapping rows above)
3) Confirm employment rate displayed to 1 decimal place (e.g. 74.9%)
4) Confirm unemployment level shown with comma separator (e.g. 1,543)
5) Confirm change indicators show correct sign
6) Confirm vacancies and payroll rows reflect currently selected periods</t>
  </si>
  <si>
    <t>Upload all files. Click Preview Top Ten. Open QA'd issued March 2026 briefing alongside.
Compare each of the 10 lines against QA'd briefing:
• Line 1 (Employment): figure and direction
• Line 2 (Payroll): flash figure and period label
• Line 3 (Unemployment): rate and change — check rounding to 1dp
• Line 4 (Vacancies): figure — confirm comma separator (not 1e+05)
• Line 5 (Inactivity): figure and long-term comparison
• Line 6 (AWE total): % figure
• Line 7 (AWE regular): % figure
• Line 8 (Real wages): direction and %
• Line 9 (Redundancy): figure and direction
• Line 10 (Days lost): figure
Note exact figures from both sources for any discrepancy.</t>
  </si>
  <si>
    <t>Specific rounding checks from previous QA round:
1) Employment rate change: confirm 1dp or 1 significant figure — '0.03pp' should show as '0.03pp' not '0.0pp'
2) Line 2: confirm value matches to 1dp — previous QA found 2.8% vs 2.7% discrepancy, confirm resolved
3) Line 4: confirm vacancies rounded to nearest 1,000 (e.g. 734,000 not 733,812)
4) All level figures: confirm comma thousands separators present
5) No scientific notation anywhere (1e+05 must not appear)</t>
  </si>
  <si>
    <t>Upload all files. Click Preview Summary. Compare to QA'd issued summary.
1) All 10 summary lines render
2) Line 1: employment figure and direction — check rounding to nearest 000s
3) Line 2: unemployment — confirm sign present on % change
4) Line 3: vacancies — confirm direction word matches QA'd version; confirm % figure matches
5) Line 4: AWE — confirm narrative direction correct
6) Spot-check remaining lines
7) Note any hardcoded narrative strings that will become outdated — flag for manual release checklist</t>
  </si>
  <si>
    <t>Upload all three OECD files. Click OECD preview.
1) Confirm all 9 country rows in correct order: UK, US, France, Germany, Italy, Spain, Canada, Japan, Euro Area
2) Confirm UK row has asterisk (*) on time period
3) Confirm all values formatted to 1dp with % (e.g. 4.2%)
4) Open source OECD files — spot-check UK, US, Germany values
5) Confirm time period labels readable (not raw SDMX codes)
6) Upload only unemployment file — confirm other columns show dash (—) not blank/crash
7) Confirm footnote text present
8) Confirm no raw column headers visible (REF_AREA, TIME_PERIOD, OBS_VALUE must not appear)</t>
  </si>
  <si>
    <t>Upload all files. Click Download Word. Open in Word.
1) Confirm filename: 'Labour Market Stats Briefing - March 2026.docx'
2) Confirm structure: title, summary, top ten, OECD table — all present
3) Search for any remaining 'qvz' placeholder strings → zero results
4) Confirm page count and layout reasonable
5) Confirm OECD table populated
6) Confirm document opens cleanly (no Word repair prompt)</t>
  </si>
  <si>
    <t xml:space="preserve">Open downloaded Word doc alongside QA'd March 2026 briefing.
1) Summary employment figure — matches to correct rounding
2) Summary unemployment change — sign and magnitde match
3) Summary vacancies — dirction word and % match; note if 'broadly unchanged' vs 'slight rise' differs
4) AWE total and regular pay figures — match
5) Top Ten line 3: employment rate direction correct (previous QA found autogenerated said 'fell' when it broadly remained same — confirm fixed or threshold defined)
6) Top Ten line 5: inactivity long-term comparison — confirm not hardcoded to outdated narrative
7) Redundancy narrative: confirm 'significant rise/fall' logic is data-driven not hardcoded
9) Real wage figures: match QA'd version
</t>
  </si>
  <si>
    <t xml:space="preserve">While downloading, monitor R console.
1) See 'Found 0 instances of &lt;key&gt;' warnings
2) For each: confirm whether the key should exist in the template  or whether it is expected (template genuinely does not contain it)
</t>
  </si>
  <si>
    <t>Upload March 2026 A01. Click download Excel.
1) Confirm filename: 'A01 - March 2026.xlsx'
2) Open downloaded file — opens cleanly, no repair prompt
3) Confirm sheet count matches original A01
4) Confirm Sheet 1 cell A1 value matches original
5) Confirm a mid-sheet cell (e.g. Sheet 1, row 50, col D) matches original
6) Confirm a formula cell still shows formula, not hardcded value
7) Without A01 uploaded: confirm warning shown, no file downloaded
8) File size within 10% of original (gross corruption check)</t>
  </si>
  <si>
    <t>1) fmt_int_1k(100000) → '100,000' not '1e+05'
2) fmt_int_1k(50000) → '50,000'
3) fmt_int_1k(NA) → '—'
4) fmt_flash_change(100) → '100,000' (×1000)
5) fmt_flash_change(NA) → '—'
6) fmt_int_1k(0) → '0' not blank</t>
  </si>
  <si>
    <t>1) Run generate_top_ten() after calculations
2) Confirm exactly 10  elements (line1..line10)
3) Confirm no element is NA or empty string
4) Confirm period labels (lfs_period_label, payroll_flash_label) present in text
5) Line 1 employment figure matches emp16_cur
6) Line 4 vacancies matches vac_cur
7) Line 5 payroll matches payroll_flash</t>
  </si>
  <si>
    <t>1) Locate all direction words ('rose', 'fell', 'increased', 'decreased') in top_ten_stats.R and summary.R
2) For each: confirm the word is derived from the sign/magnitude of the data variable, not hardcoded
3) Test edge case: value is exactly 0.0 change — confirm narrative says 'remained broadly unchanged'
4) Confirm threshold for 'significant' vs 'slight' vs 'broadly unchanged' is defined in code, not jst implicit
5) Flag any lines where the narrative  is hardcoded and will become outdated — these should be added to a manual release checklist ( ideaI  in development )</t>
  </si>
  <si>
    <t>1) Upload OECD unemployment XLSX — confirm .read_oecd_latest() returns data frame with country, period, value columns
2) Confirm all 9 countries present: UK, US, France, Germany, Italy, Spain, Canada, Japan, Euro area
3) Test with Excel 'Table' sheet format — confirm header row detection works
6) Confirm .fill_oecd_placeholders() writes values to correct template placeholders</t>
  </si>
  <si>
    <t>1) Call with A01 only — confirm Word doc generated without crash
2) Confirm no 'qvz' strings remain in output
3) With all files: confirm OECD table filled
4) Correct reference month in document header
5) Console 'Found 0 instances' warnings for non-existent placeholders are expected — confirm they do not stop generation</t>
  </si>
  <si>
    <t>1) parse_manual_month('mar2026') → Date 2026-03-01
2) parse_manual_month('2026mar') → Date 2026-03-01
3) parse_manual_month('march2026') → Date 2026-03-01
4) parse_manual_month('invalid') → NULL or graceful error
5) parse_manual_month(NULL) → NULL</t>
  </si>
  <si>
    <t>1) Run with DB available — confirm manual_month set correctly from ons.labour_market__age_group
2) Confirm month = LFS end period + 2 months
3) Run with DB unavailable — confirm fallback behaviour documented and acceptable
4) Confirm COVID_LFS_LABEL = 'Dec-Feb 2020' (static)
5) Confirm ELECTION_LABEL = 'Apr-Jun 2024' (static)</t>
  </si>
  <si>
    <t>1) Run with DB connected — confirm reference month auto-detected from ons.labour_market__age_group
2) Confirm 'Reference month: March 2026' renders in UI
3) Confirm period dropdowns populate with two options each
4) Confirm both period dropdowns default to latest period</t>
  </si>
  <si>
    <t>1) Simulate DB unavailable (wrong credentials or commented pool)
2) Confirm app launches — does not crash on startup
3) Confirm user sees informative message
4) Confirm fallback behaviour (Sys.Date()-based month) is ok or decision taken to block output when DB unavailable
5) Confirm no silent incorrect outputs generated when DB down</t>
  </si>
  <si>
    <t xml:space="preserve">1)  docker build — confirm no errors
2) Confirm all R packages install: shiny, DBI, RPostgres, dplyr, lubridate, glue, tibble, scales, readxl, openxlsx, officer
</t>
  </si>
  <si>
    <t>Simulate a real publication day run using all March 2026 ONS files.
1) Upload A01, HR1, RTISA, X09, CLA01, all three OECD files — confirm all 8 badges appear
2) Confirm reference month shows 'March 2026'
3) Preview Dashboard — review all metrics
4) Preview Top Ten — review all 10 lines against QA'd issued briefing
5) Preview Summary — review against QA'd issued summary
6) OECD preview — confirm table complete
7) Download Word — perform full figure verification against QA'd briefing
8) Download Excel — confirm A01 copy correct
9) Note total time from upload to download?  confirm acceptable for publication day
10) Repeat with latest vacancies period selected — confirm outputs update</t>
  </si>
  <si>
    <t>app.R — Manual mode
File upload &amp; badge detection
L746–L840</t>
  </si>
  <si>
    <t>app.R — Manual mode
File detection: non-standard filenames
L671–L740</t>
  </si>
  <si>
    <t>app.R — Manual mode
Partial upload: A01 + RTISA, in place so that doc does not break down if one file fails to upload</t>
  </si>
  <si>
    <t>app.R — Manual mode
Partial upload: A01 + HR1, in place so that doc does not break down if one file fails to upload</t>
  </si>
  <si>
    <t>app.R — Manual mode
Error state: wrong or corrupt file</t>
  </si>
  <si>
    <t>app.R — Manual mode
Vacancies period buttons
L941–L984</t>
  </si>
  <si>
    <t>app.R — Manual mode
Payroll period buttons
L941–L984</t>
  </si>
  <si>
    <t>utils/calculations_from_excel.R
A01 Sheet 1 — Main LFS column mapping
L165–L215</t>
  </si>
  <si>
    <t>utils/calculations_from_excel.R
A01 Sheet 2 — Inactivity 50-64
Column mapping: cols BD, BE
L207–L222</t>
  </si>
  <si>
    <t>utils/calculations_from_excel.R
A01 Sheet 10 — Redundancy
Column mapping: cols B, C
L225–L240</t>
  </si>
  <si>
    <t>utils/calculations_from_excel.R
A01 Sheet 13 — AWE Total Pay
Column mapping + code detection
L240–L280</t>
  </si>
  <si>
    <t>utils/calculations_from_excel.R
A01 Sheet 15 — AWE Regular Pay
Column mapping + code detection
L281–L320</t>
  </si>
  <si>
    <t>utils/calculations_from_excel.R
A01 Sheet 19 — Vacancies
Period row matching + col C
L403–L465</t>
  </si>
  <si>
    <t>utils/calculations_from_excel.R
RTISA — Payroll flash
Sheet detection + column mapping</t>
  </si>
  <si>
    <t>utils/calculations_from_excel.R
HR1 — Redundancy from manual upload
Sheet 1a column mapping</t>
  </si>
  <si>
    <t>utils/calculations_from_excel.R
X09 — CPI-adjusted wages
Sheet detection</t>
  </si>
  <si>
    <t>app.R — Manual mode
Preview Dashboard — full file set</t>
  </si>
  <si>
    <t>app.R — Manual mode
Preview Top Ten Stats
Figure verification vs QA'd briefing</t>
  </si>
  <si>
    <t>app.R — Manual mode
Preview Top Ten Stats
Rounding behaviour</t>
  </si>
  <si>
    <t>app.R — Manual mode
Preview Summary
Figure verification</t>
  </si>
  <si>
    <t>app.R — Manual mode
Preview OECD
Full verification</t>
  </si>
  <si>
    <t>app.R — Manual mode
Download Word — structure check</t>
  </si>
  <si>
    <t>app.R — Manual mode
Download Word — figure verification
vs QA'd issued briefing</t>
  </si>
  <si>
    <t>app.R — Manual mode
Download Word — console warnings</t>
  </si>
  <si>
    <t>app.R — Manual mode
Download Excel — A01 copy verification</t>
  </si>
  <si>
    <t>sheets/top_ten_stats.R
Number formatting
L15–L30</t>
  </si>
  <si>
    <t>sheets/top_ten_stats.R
Top ten generation
L38–L260</t>
  </si>
  <si>
    <t>sheets/top_ten_stats.R
sheets/summary.R
Narrative direction logic</t>
  </si>
  <si>
    <t>utils/calculations_from_excel.R
OECD data parsing
L550–L659</t>
  </si>
  <si>
    <t>utils/manual_word_output.R
generate_manual_word_output()
L300–L419</t>
  </si>
  <si>
    <t>utils/helpers.R
parse_manual_month()
L50–L80</t>
  </si>
  <si>
    <t>utils/config.R
Auto-detect month</t>
  </si>
  <si>
    <t>app.R — Auto mode
App launch &amp; reference month
L598–L637</t>
  </si>
  <si>
    <t>app.R — Auto mode
DB unavailable fallback
L620–L637</t>
  </si>
  <si>
    <t>app.R — Auto mode
Preview Dashboard, Top Ten, Download Word, Download Excel</t>
  </si>
  <si>
    <t>Dockerfile
Container build &amp; Data Workspace deployment</t>
  </si>
  <si>
    <t>All files
End-to-end: Manual mode
Full March 2026 release simulation</t>
  </si>
  <si>
    <t>All files
End-to-end: Auto mode
With DB connected</t>
  </si>
  <si>
    <t>1) Upload A01 only — confirm reference month detected
2) Click Preview Dashboard → confirm employment, unemployment, inactivity metrics render; vacancies and payroll show blank or N/A (not crash)
3) Click Preview Top Ten → confirm generates; payroll-dependent lines show placeholder or note, not error
4) Click Preview Summary → confirm generates without crash
5) Click Download Word → confirm document generated; payroll/HR1 sections either blank or clearly marked as unavailable
6) Click Download Excel → confirm A01 served back correctly
7) Confirm no red error notifications shown to user for missing optional files</t>
  </si>
  <si>
    <t>app.R — Manual mode
Partial upload</t>
  </si>
  <si>
    <t>1) Open app with DB AUTO — reference month detected
2) Preview Dashboard, Top Ten, Download Word, Download Excel — all in sequence
3) Spot-check  figures across Word and Dashboard against DB
4) Switch period selectors and re-run — outputs update
5) Confirm no console errors during full run</t>
  </si>
  <si>
    <t>With DB connected:
1) Preview Dashboard — all metrics render
2) Preview Top Ten — 10 lines render; no scientific notation; spot-check line 1 and 3
3) Download Word — open; no unfilled placeholders; spot-check  key figures
4) Download Excel — opens cleanly; sheets populated; disable DB and confirm Error sheet appears with clear message
5) Change period selectors and re-run — confirm outputs update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</si>
</sst>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0"/>
      <name val="Arial"/>
    </font>
    <font>
      <sz val="11"/>
      <color theme="1"/>
      <name val="Calibri"/>
      <family val="2"/>
      <scheme val="minor"/>
    </font>
    <font>
      <b/>
      <sz val="10"/>
      <name val="Arial"/>
      <family val="2"/>
    </font>
    <font>
      <sz val="8"/>
      <name val="Arial"/>
      <family val="2"/>
    </font>
    <font>
      <sz val="10"/>
      <name val="Arial"/>
      <family val="2"/>
    </font>
    <font>
      <b/>
      <sz val="10"/>
      <color indexed="56"/>
      <name val="Wingdings"/>
      <charset val="2"/>
    </font>
    <font>
      <b/>
      <sz val="12"/>
      <name val="Arial"/>
      <family val="2"/>
    </font>
    <font>
      <sz val="10"/>
      <color indexed="9"/>
      <name val="Arial"/>
      <family val="2"/>
    </font>
    <font>
      <b/>
      <sz val="12"/>
      <color indexed="8"/>
      <name val="Arial"/>
      <family val="2"/>
    </font>
    <font>
      <b/>
      <sz val="11"/>
      <name val="Arial"/>
      <family val="2"/>
    </font>
    <font>
      <u/>
      <sz val="10"/>
      <color indexed="12"/>
      <name val="Arial"/>
      <family val="2"/>
    </font>
    <font>
      <b/>
      <sz val="10"/>
      <color indexed="8"/>
      <name val="Arial"/>
      <family val="2"/>
    </font>
    <font>
      <i/>
      <sz val="10"/>
      <color indexed="63"/>
      <name val="Arial"/>
      <family val="2"/>
    </font>
    <font>
      <b/>
      <sz val="10"/>
      <color indexed="9"/>
      <name val="Arial"/>
      <family val="2"/>
    </font>
    <font>
      <sz val="10"/>
      <color indexed="63"/>
      <name val="Arial"/>
      <family val="2"/>
    </font>
    <font>
      <u/>
      <sz val="11"/>
      <color indexed="12"/>
      <name val="Calibri"/>
      <family val="2"/>
    </font>
    <font>
      <sz val="11"/>
      <color theme="1"/>
      <name val="Calibri"/>
      <family val="2"/>
      <scheme val="minor"/>
    </font>
    <font>
      <u/>
      <sz val="9.35"/>
      <color theme="10"/>
      <name val="Calibri"/>
      <family val="2"/>
    </font>
    <font>
      <sz val="10"/>
      <color theme="0"/>
      <name val="Arial"/>
      <family val="2"/>
    </font>
    <font>
      <b/>
      <sz val="10"/>
      <color theme="0"/>
      <name val="Arial"/>
      <family val="2"/>
    </font>
    <font>
      <b/>
      <i/>
      <sz val="10"/>
      <name val="Arial"/>
      <family val="2"/>
    </font>
    <font>
      <i/>
      <sz val="10"/>
      <name val="Arial"/>
      <family val="2"/>
    </font>
    <font>
      <sz val="8"/>
      <color indexed="63"/>
      <name val="Arial"/>
      <family val="2"/>
    </font>
  </fonts>
  <fills count="8">
    <fill>
      <patternFill patternType="none"/>
    </fill>
    <fill>
      <patternFill patternType="gray125"/>
    </fill>
    <fill>
      <patternFill patternType="solid">
        <fgColor indexed="49"/>
        <bgColor indexed="64"/>
      </patternFill>
    </fill>
    <fill>
      <patternFill patternType="solid">
        <fgColor indexed="50"/>
        <bgColor indexed="64"/>
      </patternFill>
    </fill>
    <fill>
      <patternFill patternType="solid">
        <fgColor indexed="10"/>
        <bgColor indexed="64"/>
      </patternFill>
    </fill>
    <fill>
      <patternFill patternType="solid">
        <fgColor indexed="52"/>
        <bgColor indexed="64"/>
      </patternFill>
    </fill>
    <fill>
      <patternFill patternType="solid">
        <fgColor rgb="FFC00000"/>
        <bgColor indexed="64"/>
      </patternFill>
    </fill>
    <fill>
      <patternFill patternType="solid">
        <fgColor rgb="FFFFFFFF"/>
      </patternFill>
    </fill>
  </fills>
  <borders count="8">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rgb="FFAAAAAA"/>
      </left>
      <right style="thin">
        <color rgb="FFAAAAAA"/>
      </right>
      <top style="thin">
        <color rgb="FFAAAAAA"/>
      </top>
      <bottom style="thin">
        <color rgb="FFAAAAAA"/>
      </bottom>
      <diagonal/>
    </border>
  </borders>
  <cellStyleXfs count="11">
    <xf numFmtId="0" fontId="0" fillId="0" borderId="0"/>
    <xf numFmtId="0" fontId="3" fillId="2" borderId="0">
      <alignment vertical="top"/>
    </xf>
    <xf numFmtId="0" fontId="10" fillId="0" borderId="0"/>
    <xf numFmtId="0" fontId="15" fillId="0" borderId="0"/>
    <xf numFmtId="0" fontId="17" fillId="0" borderId="0">
      <alignment vertical="top"/>
      <protection locked="0"/>
    </xf>
    <xf numFmtId="0" fontId="5" fillId="0" borderId="0">
      <alignment horizontal="center" vertical="center"/>
    </xf>
    <xf numFmtId="0" fontId="4" fillId="0" borderId="0"/>
    <xf numFmtId="0" fontId="16" fillId="0" borderId="0"/>
    <xf numFmtId="0" fontId="16" fillId="0" borderId="0"/>
    <xf numFmtId="0" fontId="1" fillId="0" borderId="0"/>
    <xf numFmtId="0" fontId="1" fillId="0" borderId="0"/>
  </cellStyleXfs>
  <cellXfs count="62">
    <xf numFmtId="0" fontId="0" fillId="0" borderId="0" xfId="0"/>
    <xf numFmtId="0" fontId="4" fillId="0" borderId="0" xfId="0" applyFont="1" applyAlignment="1" applyProtection="1">
      <alignment vertical="center" wrapText="1"/>
      <protection locked="0"/>
    </xf>
    <xf numFmtId="0" fontId="6" fillId="0" borderId="0" xfId="0" applyFont="1" applyAlignment="1">
      <alignment vertical="center"/>
    </xf>
    <xf numFmtId="0" fontId="6" fillId="0" borderId="0" xfId="0" applyFont="1" applyAlignment="1">
      <alignment horizontal="center" vertical="center"/>
    </xf>
    <xf numFmtId="0" fontId="4"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0" xfId="0" applyFont="1" applyAlignment="1" applyProtection="1">
      <alignment horizontal="left" vertical="center"/>
      <protection locked="0"/>
    </xf>
    <xf numFmtId="0" fontId="2" fillId="0" borderId="0" xfId="0" applyFont="1" applyAlignment="1" applyProtection="1">
      <alignment vertical="center"/>
      <protection locked="0"/>
    </xf>
    <xf numFmtId="0" fontId="10" fillId="0" borderId="0" xfId="2" applyAlignment="1" applyProtection="1">
      <alignment vertical="center"/>
      <protection locked="0"/>
    </xf>
    <xf numFmtId="0" fontId="4" fillId="0" borderId="0" xfId="0" applyFont="1" applyAlignment="1" applyProtection="1">
      <alignment horizontal="center" vertical="center"/>
      <protection locked="0"/>
    </xf>
    <xf numFmtId="0" fontId="6" fillId="0" borderId="0" xfId="0" applyFont="1" applyAlignment="1" applyProtection="1">
      <alignment vertical="center"/>
      <protection locked="0"/>
    </xf>
    <xf numFmtId="0" fontId="4" fillId="0" borderId="0" xfId="0" applyFont="1" applyAlignment="1">
      <alignment vertical="center"/>
    </xf>
    <xf numFmtId="0" fontId="7" fillId="0" borderId="0" xfId="0" applyFont="1" applyAlignment="1">
      <alignment vertical="center"/>
    </xf>
    <xf numFmtId="0" fontId="2" fillId="0" borderId="0" xfId="1" applyFont="1" applyFill="1" applyAlignment="1" applyProtection="1">
      <alignment vertical="center"/>
      <protection locked="0"/>
    </xf>
    <xf numFmtId="0" fontId="4" fillId="0" borderId="0" xfId="1" applyFont="1" applyFill="1" applyAlignment="1" applyProtection="1">
      <alignment horizontal="left" vertical="center"/>
      <protection locked="0"/>
    </xf>
    <xf numFmtId="0" fontId="4" fillId="0" borderId="0" xfId="2" applyFont="1" applyAlignment="1" applyProtection="1">
      <alignment vertical="center"/>
      <protection locked="0"/>
    </xf>
    <xf numFmtId="0" fontId="18" fillId="6" borderId="0" xfId="0" applyFont="1" applyFill="1" applyAlignment="1">
      <alignment vertical="center"/>
    </xf>
    <xf numFmtId="0" fontId="2" fillId="6" borderId="0" xfId="0" applyFont="1" applyFill="1" applyAlignment="1">
      <alignment horizontal="left" vertical="center"/>
    </xf>
    <xf numFmtId="0" fontId="4" fillId="6" borderId="0" xfId="0" applyFont="1" applyFill="1" applyAlignment="1">
      <alignment vertical="center"/>
    </xf>
    <xf numFmtId="0" fontId="8" fillId="0" borderId="0" xfId="0" applyFont="1" applyAlignment="1" applyProtection="1">
      <alignment vertical="center"/>
      <protection locked="0"/>
    </xf>
    <xf numFmtId="0" fontId="11" fillId="0" borderId="0" xfId="0" applyFont="1" applyAlignment="1" applyProtection="1">
      <alignment vertical="center"/>
      <protection locked="0"/>
    </xf>
    <xf numFmtId="0" fontId="2" fillId="0" borderId="1" xfId="1" applyFont="1" applyFill="1" applyBorder="1" applyAlignment="1" applyProtection="1">
      <alignment vertical="center"/>
      <protection locked="0"/>
    </xf>
    <xf numFmtId="0" fontId="9"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0" fontId="4" fillId="0" borderId="1" xfId="0" applyFont="1" applyBorder="1" applyAlignment="1" applyProtection="1">
      <alignment horizontal="center" vertical="center" wrapText="1"/>
      <protection locked="0"/>
    </xf>
    <xf numFmtId="14" fontId="4" fillId="0" borderId="1" xfId="0" applyNumberFormat="1" applyFont="1" applyBorder="1" applyAlignment="1" applyProtection="1">
      <alignment horizontal="center" vertical="center" wrapText="1"/>
      <protection locked="0"/>
    </xf>
    <xf numFmtId="0" fontId="14" fillId="0" borderId="1" xfId="0" applyFont="1" applyBorder="1" applyAlignment="1" applyProtection="1">
      <alignment horizontal="left" vertical="center" wrapText="1"/>
      <protection locked="0"/>
    </xf>
    <xf numFmtId="14" fontId="14" fillId="0" borderId="1" xfId="0" applyNumberFormat="1" applyFont="1" applyBorder="1" applyAlignment="1" applyProtection="1">
      <alignment horizontal="left" vertical="center" wrapText="1"/>
      <protection locked="0"/>
    </xf>
    <xf numFmtId="0" fontId="4" fillId="0" borderId="1" xfId="0" applyFont="1" applyBorder="1" applyAlignment="1" applyProtection="1">
      <alignment horizontal="left" vertical="center" wrapText="1"/>
      <protection locked="0"/>
    </xf>
    <xf numFmtId="14" fontId="4" fillId="0" borderId="1" xfId="0" applyNumberFormat="1" applyFont="1" applyBorder="1" applyAlignment="1" applyProtection="1">
      <alignment horizontal="left" vertical="center" wrapText="1"/>
      <protection locked="0"/>
    </xf>
    <xf numFmtId="0" fontId="12" fillId="0" borderId="1" xfId="0" applyFont="1" applyBorder="1" applyAlignment="1" applyProtection="1">
      <alignment horizontal="left" vertical="center" wrapText="1"/>
      <protection locked="0"/>
    </xf>
    <xf numFmtId="0" fontId="2" fillId="3" borderId="1" xfId="0" applyFont="1" applyFill="1" applyBorder="1" applyAlignment="1">
      <alignment horizontal="center" vertical="center"/>
    </xf>
    <xf numFmtId="0" fontId="2" fillId="5" borderId="1" xfId="0" applyFont="1" applyFill="1" applyBorder="1" applyAlignment="1">
      <alignment horizontal="center" vertical="center"/>
    </xf>
    <xf numFmtId="0" fontId="13" fillId="4" borderId="1" xfId="0" applyFont="1" applyFill="1" applyBorder="1" applyAlignment="1">
      <alignment horizontal="center" vertical="center"/>
    </xf>
    <xf numFmtId="0" fontId="2" fillId="0" borderId="1" xfId="0" applyFont="1" applyBorder="1" applyAlignment="1" applyProtection="1">
      <alignment horizontal="center" vertical="center" wrapText="1"/>
      <protection locked="0"/>
    </xf>
    <xf numFmtId="0" fontId="6" fillId="0" borderId="0" xfId="0" applyFont="1" applyAlignment="1">
      <alignment horizontal="center" vertical="center" wrapText="1"/>
    </xf>
    <xf numFmtId="0" fontId="6" fillId="0" borderId="0" xfId="0" applyFont="1" applyAlignment="1" applyProtection="1">
      <alignment horizontal="center" vertical="center"/>
      <protection locked="0"/>
    </xf>
    <xf numFmtId="0" fontId="20" fillId="0" borderId="1" xfId="1" applyFont="1" applyFill="1" applyBorder="1" applyAlignment="1" applyProtection="1">
      <alignment vertical="center"/>
      <protection locked="0"/>
    </xf>
    <xf numFmtId="0" fontId="10" fillId="0" borderId="0" xfId="2"/>
    <xf numFmtId="0" fontId="4" fillId="0" borderId="3" xfId="0" applyFont="1" applyBorder="1" applyAlignment="1">
      <alignment horizontal="left" vertical="center" wrapText="1"/>
    </xf>
    <xf numFmtId="0" fontId="2" fillId="0" borderId="4" xfId="0" applyFont="1" applyBorder="1" applyAlignment="1" applyProtection="1">
      <alignment horizontal="center" vertical="center" wrapText="1"/>
      <protection locked="0"/>
    </xf>
    <xf numFmtId="0" fontId="4" fillId="0" borderId="5" xfId="0" applyFont="1" applyBorder="1" applyAlignment="1" applyProtection="1">
      <alignment horizontal="left" vertical="center" wrapText="1"/>
      <protection locked="0"/>
    </xf>
    <xf numFmtId="0" fontId="4" fillId="0" borderId="1" xfId="0" applyFont="1" applyBorder="1" applyAlignment="1">
      <alignment vertical="center" wrapText="1"/>
    </xf>
    <xf numFmtId="0" fontId="4" fillId="0" borderId="3" xfId="0" applyFont="1" applyBorder="1" applyAlignment="1">
      <alignment horizontal="center" vertical="center" wrapText="1"/>
    </xf>
    <xf numFmtId="0" fontId="22" fillId="0" borderId="1" xfId="0" applyFont="1" applyBorder="1" applyAlignment="1" applyProtection="1">
      <alignment horizontal="left" vertical="center" wrapText="1"/>
      <protection locked="0"/>
    </xf>
    <xf numFmtId="0" fontId="4" fillId="0" borderId="1" xfId="0" applyFont="1" applyBorder="1" applyAlignment="1" applyProtection="1">
      <alignment horizontal="left" vertical="center"/>
      <protection locked="0"/>
    </xf>
    <xf numFmtId="0" fontId="0" fillId="0" borderId="2" xfId="0" applyBorder="1" applyProtection="1">
      <protection locked="0"/>
    </xf>
    <xf numFmtId="0" fontId="0" fillId="0" borderId="3" xfId="0" applyBorder="1" applyProtection="1">
      <protection locked="0"/>
    </xf>
    <xf numFmtId="0" fontId="4" fillId="0" borderId="1" xfId="1" applyFont="1" applyFill="1" applyBorder="1" applyAlignment="1" applyProtection="1">
      <alignment horizontal="left" vertical="center" wrapText="1"/>
      <protection locked="0"/>
    </xf>
    <xf numFmtId="0" fontId="6" fillId="0" borderId="1" xfId="0" applyFont="1" applyBorder="1" applyAlignment="1" applyProtection="1">
      <alignment horizontal="center" vertical="center" wrapText="1"/>
      <protection locked="0"/>
    </xf>
    <xf numFmtId="0" fontId="0" fillId="0" borderId="6" xfId="0" applyBorder="1" applyProtection="1">
      <protection locked="0"/>
    </xf>
    <xf numFmtId="0" fontId="0" fillId="0" borderId="5" xfId="0" applyBorder="1" applyProtection="1">
      <protection locked="0"/>
    </xf>
    <xf numFmtId="0" fontId="21" fillId="0" borderId="1" xfId="0" applyFont="1" applyBorder="1" applyAlignment="1" applyProtection="1">
      <alignment vertical="center" wrapText="1"/>
      <protection locked="0"/>
    </xf>
    <xf numFmtId="0" fontId="4" fillId="0" borderId="1" xfId="0" applyFont="1" applyBorder="1" applyAlignment="1" applyProtection="1">
      <alignment horizontal="left" vertical="center" wrapText="1"/>
      <protection locked="0"/>
    </xf>
    <xf numFmtId="0" fontId="21" fillId="0" borderId="1" xfId="0" applyFont="1" applyBorder="1" applyAlignment="1" applyProtection="1">
      <alignment horizontal="left" vertical="center"/>
      <protection locked="0"/>
    </xf>
    <xf numFmtId="0" fontId="4" fillId="0" borderId="1" xfId="0" applyFont="1" applyBorder="1" applyAlignment="1" applyProtection="1">
      <alignment vertical="center" wrapText="1"/>
      <protection locked="0"/>
    </xf>
    <xf numFmtId="0" fontId="19" fillId="6" borderId="0" xfId="0" applyFont="1" applyFill="1" applyAlignment="1">
      <alignment horizontal="left" vertical="center"/>
    </xf>
    <xf numFmtId="0" fontId="18" fillId="6" borderId="0" xfId="0" applyFont="1" applyFill="1" applyAlignment="1">
      <alignment vertical="center"/>
    </xf>
    <xf numFmtId="0" fontId="4" fillId="0" borderId="1" xfId="0" applyFont="1" applyBorder="1" applyAlignment="1" applyProtection="1">
      <alignment vertical="center"/>
      <protection locked="0"/>
    </xf>
    <xf numFmtId="0" fontId="9" fillId="0" borderId="1" xfId="0" applyFont="1" applyBorder="1" applyAlignment="1" applyProtection="1">
      <alignment vertical="center"/>
      <protection locked="0"/>
    </xf>
    <xf numFmtId="0" fontId="0" fillId="7" borderId="7" xfId="0" applyFill="1" applyBorder="1" applyAlignment="1">
      <alignment horizontal="left" vertical="top" wrapText="1"/>
    </xf>
    <xf numFmtId="0" fontId="0" fillId="7" borderId="7" xfId="0" applyFill="1" applyBorder="1" applyAlignment="1">
      <alignment horizontal="left" vertical="top" wrapText="1"/>
    </xf>
  </cellXfs>
  <cellStyles count="11">
    <cellStyle name="Blank" xfId="1" xr:uid="{00000000-0005-0000-0000-000001000000}"/>
    <cellStyle name="Hyperlink" xfId="2" builtinId="8"/>
    <cellStyle name="Hyperlink 2" xfId="3" xr:uid="{00000000-0005-0000-0000-000003000000}"/>
    <cellStyle name="Hyperlink 3" xfId="4" xr:uid="{00000000-0005-0000-0000-000004000000}"/>
    <cellStyle name="Hyperlink Check." xfId="5" xr:uid="{00000000-0005-0000-0000-000005000000}"/>
    <cellStyle name="Normal" xfId="0" builtinId="0"/>
    <cellStyle name="Normal 2" xfId="6" xr:uid="{00000000-0005-0000-0000-000006000000}"/>
    <cellStyle name="Normal 3" xfId="7" xr:uid="{00000000-0005-0000-0000-000007000000}"/>
    <cellStyle name="Normal 3 2" xfId="8" xr:uid="{00000000-0005-0000-0000-000008000000}"/>
    <cellStyle name="Normal 3 2 2" xfId="10" xr:uid="{82B187DA-CAD0-4FC6-A6F2-1A7ECE113CD9}"/>
    <cellStyle name="Normal 3 3" xfId="9" xr:uid="{22F6CC4F-1AB9-403A-AD66-E1F9B2F55278}"/>
  </cellStyles>
  <dxfs count="32">
    <dxf>
      <fill>
        <patternFill patternType="solid">
          <fgColor rgb="FFE7E6E6"/>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E7E6E6"/>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E7E6E6"/>
        </patternFill>
      </fill>
    </dxf>
    <dxf>
      <fill>
        <patternFill patternType="solid">
          <fgColor rgb="FFFFC7CE"/>
        </patternFill>
      </fill>
    </dxf>
    <dxf>
      <fill>
        <patternFill patternType="solid">
          <fgColor rgb="FFFFEB9C"/>
        </patternFill>
      </fill>
    </dxf>
    <dxf>
      <fill>
        <patternFill patternType="solid">
          <fgColor rgb="FFC6EFCE"/>
        </patternFill>
      </fill>
    </dxf>
    <dxf>
      <font>
        <b/>
        <strike val="0"/>
        <color theme="0"/>
      </font>
      <fill>
        <patternFill>
          <bgColor indexed="10"/>
        </patternFill>
      </fill>
    </dxf>
    <dxf>
      <font>
        <b/>
        <condense val="0"/>
        <extend val="0"/>
        <color indexed="8"/>
      </font>
      <fill>
        <patternFill>
          <bgColor indexed="50"/>
        </patternFill>
      </fill>
    </dxf>
    <dxf>
      <font>
        <b/>
        <condense val="0"/>
        <extend val="0"/>
        <color indexed="9"/>
      </font>
      <fill>
        <patternFill>
          <bgColor indexed="10"/>
        </patternFill>
      </fill>
    </dxf>
    <dxf>
      <font>
        <b/>
      </font>
      <fill>
        <patternFill>
          <bgColor indexed="52"/>
        </patternFill>
      </fill>
    </dxf>
    <dxf>
      <font>
        <b/>
      </font>
      <fill>
        <patternFill>
          <bgColor indexed="50"/>
        </patternFill>
      </fill>
    </dxf>
    <dxf>
      <font>
        <b/>
        <condense val="0"/>
        <extend val="0"/>
        <color indexed="9"/>
      </font>
      <fill>
        <patternFill>
          <bgColor indexed="10"/>
        </patternFill>
      </fill>
    </dxf>
    <dxf>
      <font>
        <b/>
      </font>
      <fill>
        <patternFill>
          <bgColor indexed="52"/>
        </patternFill>
      </fill>
    </dxf>
    <dxf>
      <font>
        <b/>
      </font>
      <fill>
        <patternFill>
          <bgColor indexed="50"/>
        </patternFill>
      </fill>
    </dxf>
    <dxf>
      <fill>
        <patternFill patternType="solid">
          <fgColor rgb="FFE7E6E6"/>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E7E6E6"/>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E7E6E6"/>
        </patternFill>
      </fill>
    </dxf>
    <dxf>
      <fill>
        <patternFill patternType="solid">
          <fgColor rgb="FFFFC7CE"/>
        </patternFill>
      </fill>
    </dxf>
    <dxf>
      <fill>
        <patternFill patternType="solid">
          <fgColor rgb="FFFFEB9C"/>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1642720</xdr:colOff>
      <xdr:row>1</xdr:row>
      <xdr:rowOff>38100</xdr:rowOff>
    </xdr:to>
    <xdr:pic>
      <xdr:nvPicPr>
        <xdr:cNvPr id="2057" name="Picture 1">
          <a:extLst>
            <a:ext uri="{FF2B5EF4-FFF2-40B4-BE49-F238E27FC236}">
              <a16:creationId xmlns:a16="http://schemas.microsoft.com/office/drawing/2014/main" id="{00000000-0008-0000-0000-000009080000}"/>
            </a:ext>
          </a:extLst>
        </xdr:cNvPr>
        <xdr:cNvPicPr>
          <a:picLocks noChangeAspect="1" noChangeArrowheads="1"/>
        </xdr:cNvPicPr>
      </xdr:nvPicPr>
      <xdr:blipFill rotWithShape="1">
        <a:blip xmlns:r="http://schemas.openxmlformats.org/officeDocument/2006/relationships" r:embed="rId1" cstate="print"/>
        <a:srcRect t="20689" b="15518"/>
        <a:stretch>
          <a:fillRect/>
        </a:stretch>
      </xdr:blipFill>
      <xdr:spPr bwMode="auto">
        <a:xfrm>
          <a:off x="0" y="0"/>
          <a:ext cx="1833220" cy="704850"/>
        </a:xfrm>
        <a:prstGeom prst="rect">
          <a:avLst/>
        </a:prstGeom>
        <a:noFill/>
        <a:ln>
          <a:noFill/>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594970</xdr:colOff>
      <xdr:row>1</xdr:row>
      <xdr:rowOff>38100</xdr:rowOff>
    </xdr:to>
    <xdr:pic>
      <xdr:nvPicPr>
        <xdr:cNvPr id="2" name="Picture 1">
          <a:extLst>
            <a:ext uri="{FF2B5EF4-FFF2-40B4-BE49-F238E27FC236}">
              <a16:creationId xmlns:a16="http://schemas.microsoft.com/office/drawing/2014/main" id="{00000000-0008-0000-0100-000002000000}"/>
            </a:ext>
          </a:extLst>
        </xdr:cNvPr>
        <xdr:cNvPicPr>
          <a:picLocks noChangeAspect="1" noChangeArrowheads="1"/>
        </xdr:cNvPicPr>
      </xdr:nvPicPr>
      <xdr:blipFill rotWithShape="1">
        <a:blip xmlns:r="http://schemas.openxmlformats.org/officeDocument/2006/relationships" r:embed="rId1" cstate="print"/>
        <a:srcRect t="20689" b="15518"/>
        <a:stretch>
          <a:fillRect/>
        </a:stretch>
      </xdr:blipFill>
      <xdr:spPr bwMode="auto">
        <a:xfrm>
          <a:off x="0" y="0"/>
          <a:ext cx="1833220" cy="704850"/>
        </a:xfrm>
        <a:prstGeom prst="rect">
          <a:avLst/>
        </a:prstGeom>
        <a:noFill/>
        <a:ln>
          <a:noFill/>
          <a:prstDash val="solid"/>
        </a:ln>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julienneo/AppData/Local/Microsoft/Windows/Temporary%20Internet%20Files/Content.Outlook/GXDIYENF/Tailoring%20and%20Prioritising%20AQA%20v0%205.xls" TargetMode="External"/><Relationship Id="rId1" Type="http://schemas.openxmlformats.org/officeDocument/2006/relationships/externalLinkPath" Target="/Users/julienneo/AppData/Local/Microsoft/Windows/Temporary%20Internet%20Files/Content.Outlook/GXDIYENF/Tailoring%20and%20Prioritising%20AQA%20v0%205.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ntrols &amp; AQA Log"/>
      <sheetName val="Risk&amp;Scale"/>
      <sheetName val="Ref"/>
      <sheetName val="MSC Matrix"/>
    </sheetNames>
    <sheetDataSet>
      <sheetData sheetId="0" refreshError="1"/>
      <sheetData sheetId="1"/>
      <sheetData sheetId="2"/>
      <sheetData sheetId="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dbis-my.sharepoint.com/:w:/s/Analysis/EThG559TwLZIoPoO2ULOZR8BeruUyRxxkhmPzk6_K-CL2Q?e=XJ2mC8"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tabColor rgb="FFC00000"/>
    <pageSetUpPr fitToPage="1"/>
  </sheetPr>
  <dimension ref="A1:L31"/>
  <sheetViews>
    <sheetView showGridLines="0" topLeftCell="C4" workbookViewId="0">
      <selection activeCell="C17" sqref="C17:H17"/>
    </sheetView>
  </sheetViews>
  <sheetFormatPr defaultColWidth="9.1796875" defaultRowHeight="12.75" customHeight="1" x14ac:dyDescent="0.25"/>
  <cols>
    <col min="1" max="1" width="2.81640625" style="11" customWidth="1"/>
    <col min="2" max="2" width="25.7265625" style="11" customWidth="1"/>
    <col min="3" max="3" width="20.7265625" style="11" customWidth="1"/>
    <col min="4" max="4" width="10.7265625" style="11" customWidth="1"/>
    <col min="5" max="5" width="15.7265625" style="11" customWidth="1"/>
    <col min="6" max="7" width="30.7265625" style="11" customWidth="1"/>
    <col min="8" max="8" width="103.26953125" style="11" customWidth="1"/>
    <col min="9" max="9" width="9.1796875" style="11" customWidth="1"/>
    <col min="10" max="16384" width="9.1796875" style="11"/>
  </cols>
  <sheetData>
    <row r="1" spans="1:12" ht="52.5" customHeight="1" x14ac:dyDescent="0.25">
      <c r="D1" s="3" t="s">
        <v>25</v>
      </c>
      <c r="H1" s="36"/>
      <c r="K1" s="12"/>
    </row>
    <row r="2" spans="1:12" s="16" customFormat="1" ht="13" customHeight="1" x14ac:dyDescent="0.25">
      <c r="A2" s="56"/>
      <c r="B2" s="57"/>
    </row>
    <row r="3" spans="1:12" s="4" customFormat="1" ht="12.75" customHeight="1" x14ac:dyDescent="0.25">
      <c r="B3" s="8" t="s">
        <v>26</v>
      </c>
    </row>
    <row r="4" spans="1:12" s="4" customFormat="1" ht="12.75" customHeight="1" x14ac:dyDescent="0.25"/>
    <row r="5" spans="1:12" s="4" customFormat="1" ht="15.5" customHeight="1" x14ac:dyDescent="0.25">
      <c r="B5" s="19" t="s">
        <v>27</v>
      </c>
      <c r="C5" s="20"/>
      <c r="L5" s="6"/>
    </row>
    <row r="6" spans="1:12" s="4" customFormat="1" ht="12.75" customHeight="1" x14ac:dyDescent="0.25">
      <c r="B6" s="21" t="s">
        <v>28</v>
      </c>
      <c r="C6" s="53" t="s">
        <v>29</v>
      </c>
      <c r="D6" s="46"/>
      <c r="E6" s="46"/>
      <c r="F6" s="46"/>
      <c r="G6" s="46"/>
      <c r="H6" s="47"/>
    </row>
    <row r="7" spans="1:12" s="4" customFormat="1" ht="12.75" customHeight="1" x14ac:dyDescent="0.25">
      <c r="A7" s="6"/>
      <c r="B7" s="21" t="s">
        <v>30</v>
      </c>
      <c r="C7" s="53" t="s">
        <v>29</v>
      </c>
      <c r="D7" s="46"/>
      <c r="E7" s="46"/>
      <c r="F7" s="46"/>
      <c r="G7" s="46"/>
      <c r="H7" s="47"/>
    </row>
    <row r="8" spans="1:12" s="4" customFormat="1" ht="12.75" customHeight="1" x14ac:dyDescent="0.25">
      <c r="A8" s="6"/>
      <c r="B8" s="21" t="s">
        <v>31</v>
      </c>
      <c r="C8" s="53" t="s">
        <v>32</v>
      </c>
      <c r="D8" s="46"/>
      <c r="E8" s="46"/>
      <c r="F8" s="46"/>
      <c r="G8" s="46"/>
      <c r="H8" s="47"/>
    </row>
    <row r="9" spans="1:12" s="4" customFormat="1" ht="12.75" customHeight="1" x14ac:dyDescent="0.25">
      <c r="A9" s="6"/>
      <c r="B9" s="21" t="s">
        <v>33</v>
      </c>
      <c r="C9" s="53" t="s">
        <v>32</v>
      </c>
      <c r="D9" s="46"/>
      <c r="E9" s="46"/>
      <c r="F9" s="46"/>
      <c r="G9" s="46"/>
      <c r="H9" s="47"/>
    </row>
    <row r="10" spans="1:12" s="4" customFormat="1" ht="13" customHeight="1" x14ac:dyDescent="0.25">
      <c r="B10" s="21" t="s">
        <v>34</v>
      </c>
      <c r="C10" s="55" t="s">
        <v>35</v>
      </c>
      <c r="D10" s="46"/>
      <c r="E10" s="46"/>
      <c r="F10" s="46"/>
      <c r="G10" s="46"/>
      <c r="H10" s="47"/>
    </row>
    <row r="11" spans="1:12" s="4" customFormat="1" ht="13" customHeight="1" x14ac:dyDescent="0.25">
      <c r="B11" s="13"/>
      <c r="C11" s="14"/>
      <c r="D11" s="14"/>
      <c r="E11" s="14"/>
    </row>
    <row r="12" spans="1:12" s="4" customFormat="1" ht="15.5" customHeight="1" x14ac:dyDescent="0.25">
      <c r="B12" s="5" t="s">
        <v>36</v>
      </c>
    </row>
    <row r="13" spans="1:12" s="4" customFormat="1" ht="14" customHeight="1" x14ac:dyDescent="0.25">
      <c r="B13" s="22" t="s">
        <v>37</v>
      </c>
      <c r="C13" s="59" t="s">
        <v>38</v>
      </c>
      <c r="D13" s="46"/>
      <c r="E13" s="46"/>
      <c r="F13" s="46"/>
      <c r="G13" s="46"/>
      <c r="H13" s="47"/>
    </row>
    <row r="14" spans="1:12" s="4" customFormat="1" ht="13" customHeight="1" x14ac:dyDescent="0.25">
      <c r="B14" s="21" t="s">
        <v>0</v>
      </c>
      <c r="C14" s="58" t="s">
        <v>39</v>
      </c>
      <c r="D14" s="46"/>
      <c r="E14" s="46"/>
      <c r="F14" s="46"/>
      <c r="G14" s="46"/>
      <c r="H14" s="47"/>
    </row>
    <row r="15" spans="1:12" s="4" customFormat="1" ht="13" customHeight="1" x14ac:dyDescent="0.25">
      <c r="B15" s="37" t="s">
        <v>40</v>
      </c>
      <c r="C15" s="54" t="s">
        <v>41</v>
      </c>
      <c r="D15" s="46"/>
      <c r="E15" s="46"/>
      <c r="F15" s="46"/>
      <c r="G15" s="46"/>
      <c r="H15" s="47"/>
    </row>
    <row r="16" spans="1:12" s="4" customFormat="1" ht="13" customHeight="1" x14ac:dyDescent="0.25">
      <c r="B16" s="37" t="s">
        <v>42</v>
      </c>
      <c r="C16" s="52" t="s">
        <v>43</v>
      </c>
      <c r="D16" s="46"/>
      <c r="E16" s="46"/>
      <c r="F16" s="46"/>
      <c r="G16" s="46"/>
      <c r="H16" s="47"/>
    </row>
    <row r="17" spans="2:8" s="4" customFormat="1" ht="13" customHeight="1" x14ac:dyDescent="0.25">
      <c r="B17" s="37" t="s">
        <v>44</v>
      </c>
      <c r="C17" s="52" t="s">
        <v>45</v>
      </c>
      <c r="D17" s="46"/>
      <c r="E17" s="46"/>
      <c r="F17" s="46"/>
      <c r="G17" s="46"/>
      <c r="H17" s="47"/>
    </row>
    <row r="18" spans="2:8" s="4" customFormat="1" ht="12.75" customHeight="1" x14ac:dyDescent="0.25">
      <c r="B18" s="15"/>
      <c r="C18" s="1"/>
      <c r="D18" s="1"/>
      <c r="E18" s="1"/>
      <c r="F18" s="1"/>
      <c r="G18" s="1"/>
      <c r="H18" s="1"/>
    </row>
    <row r="19" spans="2:8" s="4" customFormat="1" ht="12.75" customHeight="1" x14ac:dyDescent="0.25">
      <c r="B19" s="5" t="s">
        <v>46</v>
      </c>
      <c r="C19" s="6"/>
      <c r="D19" s="6"/>
      <c r="E19" s="7"/>
      <c r="F19" s="8"/>
      <c r="G19" s="8"/>
    </row>
    <row r="20" spans="2:8" s="4" customFormat="1" ht="12.75" customHeight="1" x14ac:dyDescent="0.25">
      <c r="B20" s="23" t="s">
        <v>11</v>
      </c>
      <c r="C20" s="23" t="s">
        <v>47</v>
      </c>
      <c r="E20" s="7"/>
      <c r="F20" s="8"/>
      <c r="G20" s="8"/>
    </row>
    <row r="21" spans="2:8" s="4" customFormat="1" ht="13" customHeight="1" x14ac:dyDescent="0.25">
      <c r="B21" s="24"/>
      <c r="C21" s="25"/>
      <c r="E21" s="7"/>
      <c r="F21" s="8"/>
      <c r="G21" s="8"/>
    </row>
    <row r="22" spans="2:8" s="4" customFormat="1" ht="12.75" customHeight="1" x14ac:dyDescent="0.25">
      <c r="B22" s="9"/>
      <c r="C22" s="9"/>
      <c r="D22" s="9"/>
      <c r="E22" s="7"/>
      <c r="F22" s="8"/>
      <c r="G22" s="8"/>
    </row>
    <row r="23" spans="2:8" s="4" customFormat="1" ht="12.75" customHeight="1" x14ac:dyDescent="0.25">
      <c r="B23" s="10" t="s">
        <v>48</v>
      </c>
    </row>
    <row r="24" spans="2:8" s="4" customFormat="1" ht="13" customHeight="1" x14ac:dyDescent="0.25">
      <c r="B24" s="23" t="s">
        <v>11</v>
      </c>
      <c r="C24" s="23" t="s">
        <v>49</v>
      </c>
      <c r="D24" s="23" t="s">
        <v>50</v>
      </c>
      <c r="E24" s="23" t="s">
        <v>51</v>
      </c>
      <c r="F24" s="23" t="s">
        <v>52</v>
      </c>
      <c r="G24" s="23" t="s">
        <v>53</v>
      </c>
      <c r="H24" s="23" t="s">
        <v>54</v>
      </c>
    </row>
    <row r="25" spans="2:8" s="4" customFormat="1" ht="12.75" customHeight="1" x14ac:dyDescent="0.25">
      <c r="B25" s="26">
        <v>0.1</v>
      </c>
      <c r="C25" s="26">
        <v>0</v>
      </c>
      <c r="D25" s="27">
        <v>41640</v>
      </c>
      <c r="E25" s="26" t="s">
        <v>55</v>
      </c>
      <c r="F25" s="26" t="s">
        <v>56</v>
      </c>
      <c r="G25" s="26" t="s">
        <v>57</v>
      </c>
      <c r="H25" s="26" t="s">
        <v>57</v>
      </c>
    </row>
    <row r="26" spans="2:8" s="4" customFormat="1" ht="12.75" customHeight="1" x14ac:dyDescent="0.25">
      <c r="B26" s="26">
        <v>0.2</v>
      </c>
      <c r="C26" s="26">
        <v>0.1</v>
      </c>
      <c r="D26" s="27">
        <v>41671</v>
      </c>
      <c r="E26" s="26" t="s">
        <v>55</v>
      </c>
      <c r="F26" s="26" t="s">
        <v>58</v>
      </c>
      <c r="G26" s="26" t="s">
        <v>59</v>
      </c>
      <c r="H26" s="26" t="s">
        <v>60</v>
      </c>
    </row>
    <row r="27" spans="2:8" s="4" customFormat="1" ht="12.75" customHeight="1" x14ac:dyDescent="0.25">
      <c r="B27" s="28"/>
      <c r="C27" s="28"/>
      <c r="D27" s="29"/>
      <c r="E27" s="28"/>
      <c r="F27" s="28"/>
      <c r="G27" s="28"/>
      <c r="H27" s="30"/>
    </row>
    <row r="28" spans="2:8" s="4" customFormat="1" ht="12.75" customHeight="1" x14ac:dyDescent="0.25">
      <c r="B28" s="28"/>
      <c r="C28" s="28"/>
      <c r="D28" s="29"/>
      <c r="E28" s="28"/>
      <c r="F28" s="28"/>
      <c r="G28" s="28"/>
      <c r="H28" s="30"/>
    </row>
    <row r="29" spans="2:8" s="4" customFormat="1" ht="12.75" customHeight="1" x14ac:dyDescent="0.25">
      <c r="B29" s="28"/>
      <c r="C29" s="28"/>
      <c r="D29" s="29"/>
      <c r="E29" s="28"/>
      <c r="F29" s="28"/>
      <c r="G29" s="28"/>
      <c r="H29" s="30"/>
    </row>
    <row r="30" spans="2:8" ht="12.75" customHeight="1" x14ac:dyDescent="0.25">
      <c r="B30" s="28"/>
      <c r="C30" s="28"/>
      <c r="D30" s="29"/>
      <c r="E30" s="28"/>
      <c r="F30" s="28"/>
      <c r="G30" s="28"/>
      <c r="H30" s="30"/>
    </row>
    <row r="31" spans="2:8" ht="12.75" customHeight="1" x14ac:dyDescent="0.25">
      <c r="B31" s="4"/>
      <c r="C31" s="4"/>
      <c r="D31" s="4"/>
      <c r="E31" s="4"/>
      <c r="F31" s="4"/>
      <c r="G31" s="4"/>
      <c r="H31" s="4"/>
    </row>
  </sheetData>
  <mergeCells count="11">
    <mergeCell ref="A2:B2"/>
    <mergeCell ref="C14:H14"/>
    <mergeCell ref="C13:H13"/>
    <mergeCell ref="C9:H9"/>
    <mergeCell ref="C8:H8"/>
    <mergeCell ref="C17:H17"/>
    <mergeCell ref="C7:H7"/>
    <mergeCell ref="C15:H15"/>
    <mergeCell ref="C6:H6"/>
    <mergeCell ref="C10:H10"/>
    <mergeCell ref="C16:H16"/>
  </mergeCells>
  <dataValidations count="1">
    <dataValidation type="list" allowBlank="1" showInputMessage="1" showErrorMessage="1" sqref="C22" xr:uid="{00000000-0002-0000-0000-000000000000}">
      <formula1>$K$1:$K$1</formula1>
    </dataValidation>
  </dataValidations>
  <hyperlinks>
    <hyperlink ref="B3" r:id="rId1" xr:uid="{00000000-0004-0000-0000-000000000000}"/>
  </hyperlinks>
  <pageMargins left="0.75" right="0.75" top="1" bottom="1" header="0.5" footer="0.5"/>
  <pageSetup paperSize="9" scale="65" orientation="landscape"/>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rgb="FFC00000"/>
    <pageSetUpPr fitToPage="1"/>
  </sheetPr>
  <dimension ref="A1:N49"/>
  <sheetViews>
    <sheetView showGridLines="0" tabSelected="1" topLeftCell="C47" zoomScale="70" zoomScaleNormal="70" workbookViewId="0">
      <selection activeCell="D50" sqref="D50"/>
    </sheetView>
  </sheetViews>
  <sheetFormatPr defaultColWidth="9.1796875" defaultRowHeight="12.5" x14ac:dyDescent="0.25"/>
  <cols>
    <col min="1" max="1" width="2.81640625" style="4" customWidth="1"/>
    <col min="2" max="2" width="15.7265625" style="4" customWidth="1"/>
    <col min="3" max="3" width="69.26953125" style="4" customWidth="1"/>
    <col min="4" max="4" width="55.6328125" style="4" bestFit="1" customWidth="1"/>
    <col min="5" max="5" width="20.7265625" style="4" customWidth="1"/>
    <col min="6" max="6" width="10.7265625" style="4" customWidth="1"/>
    <col min="7" max="7" width="17.26953125" style="4" bestFit="1" customWidth="1"/>
    <col min="8" max="8" width="68.453125" style="4" customWidth="1"/>
    <col min="9" max="9" width="20.7265625" style="4" customWidth="1"/>
    <col min="10" max="10" width="11.453125" style="4" customWidth="1"/>
    <col min="11" max="12" width="10.7265625" style="4" customWidth="1"/>
    <col min="13" max="13" width="16.453125" style="4" customWidth="1"/>
    <col min="14" max="14" width="15.7265625" style="4" customWidth="1"/>
    <col min="15" max="15" width="9.1796875" style="4" customWidth="1"/>
    <col min="16" max="16384" width="9.1796875" style="4"/>
  </cols>
  <sheetData>
    <row r="1" spans="1:14" s="11" customFormat="1" ht="31" x14ac:dyDescent="0.25">
      <c r="B1" s="12"/>
      <c r="D1" s="3" t="s">
        <v>0</v>
      </c>
      <c r="E1" s="35" t="s">
        <v>1</v>
      </c>
      <c r="F1" s="2"/>
      <c r="G1" s="2"/>
    </row>
    <row r="2" spans="1:14" s="18" customFormat="1" ht="13" x14ac:dyDescent="0.25">
      <c r="A2" s="17"/>
    </row>
    <row r="4" spans="1:14" ht="13" x14ac:dyDescent="0.25">
      <c r="B4" s="49" t="s">
        <v>2</v>
      </c>
      <c r="C4" s="31" t="s">
        <v>3</v>
      </c>
      <c r="D4" s="48" t="s">
        <v>4</v>
      </c>
      <c r="E4" s="46"/>
      <c r="F4" s="46"/>
      <c r="G4" s="46"/>
      <c r="H4" s="46"/>
      <c r="I4" s="46"/>
      <c r="J4" s="46"/>
      <c r="K4" s="47"/>
    </row>
    <row r="5" spans="1:14" ht="13" x14ac:dyDescent="0.25">
      <c r="B5" s="50"/>
      <c r="C5" s="32" t="s">
        <v>5</v>
      </c>
      <c r="D5" s="48" t="s">
        <v>6</v>
      </c>
      <c r="E5" s="46"/>
      <c r="F5" s="46"/>
      <c r="G5" s="46"/>
      <c r="H5" s="46"/>
      <c r="I5" s="46"/>
      <c r="J5" s="46"/>
      <c r="K5" s="47"/>
    </row>
    <row r="6" spans="1:14" ht="13" x14ac:dyDescent="0.25">
      <c r="B6" s="50"/>
      <c r="C6" s="33" t="s">
        <v>7</v>
      </c>
      <c r="D6" s="48" t="s">
        <v>8</v>
      </c>
      <c r="E6" s="46"/>
      <c r="F6" s="46"/>
      <c r="G6" s="46"/>
      <c r="H6" s="46"/>
      <c r="I6" s="46"/>
      <c r="J6" s="46"/>
      <c r="K6" s="47"/>
    </row>
    <row r="7" spans="1:14" ht="13" x14ac:dyDescent="0.25">
      <c r="B7" s="51"/>
      <c r="C7" s="23" t="s">
        <v>9</v>
      </c>
      <c r="D7" s="45" t="s">
        <v>10</v>
      </c>
      <c r="E7" s="46"/>
      <c r="F7" s="46"/>
      <c r="G7" s="46"/>
      <c r="H7" s="46"/>
      <c r="I7" s="46"/>
      <c r="J7" s="46"/>
      <c r="K7" s="47"/>
    </row>
    <row r="9" spans="1:14" ht="39" x14ac:dyDescent="0.25">
      <c r="B9" s="34" t="s">
        <v>11</v>
      </c>
      <c r="C9" s="34" t="s">
        <v>12</v>
      </c>
      <c r="D9" s="40" t="s">
        <v>13</v>
      </c>
      <c r="E9" s="40" t="s">
        <v>14</v>
      </c>
      <c r="F9" s="34" t="s">
        <v>15</v>
      </c>
      <c r="G9" s="34" t="s">
        <v>16</v>
      </c>
      <c r="H9" s="34" t="s">
        <v>17</v>
      </c>
      <c r="I9" s="34" t="s">
        <v>18</v>
      </c>
      <c r="J9" s="34" t="s">
        <v>19</v>
      </c>
      <c r="K9" s="34" t="s">
        <v>20</v>
      </c>
      <c r="L9" s="34" t="s">
        <v>21</v>
      </c>
      <c r="M9" s="34" t="s">
        <v>22</v>
      </c>
      <c r="N9" s="34" t="s">
        <v>23</v>
      </c>
    </row>
    <row r="10" spans="1:14" ht="187.5" x14ac:dyDescent="0.25">
      <c r="B10" s="26" t="s">
        <v>24</v>
      </c>
      <c r="C10" s="60" t="s">
        <v>97</v>
      </c>
      <c r="D10" s="60" t="s">
        <v>61</v>
      </c>
      <c r="E10" s="42"/>
      <c r="F10" s="43"/>
      <c r="G10" s="34"/>
      <c r="H10" s="26"/>
      <c r="I10" s="28"/>
      <c r="J10" s="28"/>
      <c r="K10" s="29"/>
      <c r="L10" s="24"/>
      <c r="M10" s="24"/>
      <c r="N10" s="38"/>
    </row>
    <row r="11" spans="1:14" ht="137.5" x14ac:dyDescent="0.25">
      <c r="B11" s="26" t="s">
        <v>24</v>
      </c>
      <c r="C11" s="60" t="s">
        <v>98</v>
      </c>
      <c r="D11" s="60" t="s">
        <v>62</v>
      </c>
      <c r="E11" s="42"/>
      <c r="F11" s="39"/>
      <c r="G11" s="34"/>
      <c r="H11" s="44"/>
      <c r="I11" s="28"/>
      <c r="J11" s="28"/>
      <c r="K11" s="28"/>
      <c r="L11" s="24"/>
      <c r="M11" s="24"/>
      <c r="N11" s="38"/>
    </row>
    <row r="12" spans="1:14" ht="135.5" customHeight="1" x14ac:dyDescent="0.25">
      <c r="B12" s="26" t="s">
        <v>24</v>
      </c>
      <c r="C12" s="61" t="s">
        <v>136</v>
      </c>
      <c r="D12" s="61" t="s">
        <v>135</v>
      </c>
      <c r="E12" s="42"/>
      <c r="F12" s="39"/>
      <c r="G12" s="34"/>
      <c r="H12" s="28"/>
      <c r="I12" s="28"/>
      <c r="J12" s="28"/>
      <c r="K12" s="28"/>
      <c r="L12" s="24"/>
      <c r="M12" s="24"/>
      <c r="N12" s="38"/>
    </row>
    <row r="13" spans="1:14" ht="137.5" x14ac:dyDescent="0.25">
      <c r="B13" s="26"/>
      <c r="C13" s="61" t="s">
        <v>99</v>
      </c>
      <c r="D13" s="60" t="s">
        <v>63</v>
      </c>
      <c r="E13" s="42"/>
      <c r="F13" s="39"/>
      <c r="G13" s="34"/>
      <c r="H13" s="28"/>
      <c r="I13" s="28"/>
      <c r="J13" s="28"/>
      <c r="K13" s="28"/>
      <c r="L13" s="24"/>
      <c r="M13" s="24"/>
      <c r="N13" s="38"/>
    </row>
    <row r="14" spans="1:14" ht="58" customHeight="1" x14ac:dyDescent="0.25">
      <c r="B14" s="26"/>
      <c r="C14" s="60" t="s">
        <v>100</v>
      </c>
      <c r="D14" s="60" t="s">
        <v>64</v>
      </c>
      <c r="E14" s="41"/>
      <c r="F14" s="28"/>
      <c r="G14" s="34"/>
      <c r="H14" s="28"/>
      <c r="I14" s="28"/>
      <c r="J14" s="28"/>
      <c r="K14" s="28"/>
      <c r="L14" s="24"/>
      <c r="M14" s="24"/>
      <c r="N14" s="28"/>
    </row>
    <row r="15" spans="1:14" ht="50" customHeight="1" x14ac:dyDescent="0.25">
      <c r="B15" s="28"/>
      <c r="C15" s="60" t="s">
        <v>101</v>
      </c>
      <c r="D15" s="60" t="s">
        <v>65</v>
      </c>
      <c r="E15" s="28"/>
      <c r="F15" s="28"/>
      <c r="G15" s="34"/>
      <c r="H15" s="28"/>
      <c r="I15" s="28"/>
      <c r="J15" s="28"/>
      <c r="K15" s="28"/>
      <c r="L15" s="24"/>
      <c r="M15" s="24"/>
      <c r="N15" s="28"/>
    </row>
    <row r="16" spans="1:14" ht="69.5" customHeight="1" x14ac:dyDescent="0.25">
      <c r="B16" s="28"/>
      <c r="C16" s="60" t="s">
        <v>102</v>
      </c>
      <c r="D16" s="60" t="s">
        <v>66</v>
      </c>
      <c r="E16" s="28"/>
      <c r="F16" s="28"/>
      <c r="G16" s="34"/>
      <c r="H16" s="28"/>
      <c r="I16" s="28"/>
      <c r="J16" s="28"/>
      <c r="K16" s="28"/>
      <c r="L16" s="24"/>
      <c r="M16" s="24"/>
      <c r="N16" s="28"/>
    </row>
    <row r="17" spans="2:14" ht="45" customHeight="1" x14ac:dyDescent="0.25">
      <c r="B17" s="28"/>
      <c r="C17" s="60" t="s">
        <v>103</v>
      </c>
      <c r="D17" s="60" t="s">
        <v>67</v>
      </c>
      <c r="E17" s="28"/>
      <c r="F17" s="28"/>
      <c r="G17" s="34"/>
      <c r="H17" s="28"/>
      <c r="I17" s="28"/>
      <c r="J17" s="28"/>
      <c r="K17" s="28"/>
      <c r="L17" s="24"/>
      <c r="M17" s="24"/>
      <c r="N17" s="28"/>
    </row>
    <row r="18" spans="2:14" ht="55" customHeight="1" x14ac:dyDescent="0.25">
      <c r="B18" s="28"/>
      <c r="C18" s="60" t="s">
        <v>104</v>
      </c>
      <c r="D18" s="60" t="s">
        <v>68</v>
      </c>
      <c r="E18" s="28"/>
      <c r="F18" s="28"/>
      <c r="G18" s="34"/>
      <c r="H18" s="28"/>
      <c r="I18" s="28"/>
      <c r="J18" s="28"/>
      <c r="K18" s="28"/>
      <c r="L18" s="24"/>
      <c r="M18" s="24"/>
      <c r="N18" s="28"/>
    </row>
    <row r="19" spans="2:14" ht="74.5" customHeight="1" x14ac:dyDescent="0.25">
      <c r="B19" s="28"/>
      <c r="C19" s="60" t="s">
        <v>105</v>
      </c>
      <c r="D19" s="60" t="s">
        <v>69</v>
      </c>
      <c r="E19" s="28"/>
      <c r="F19" s="28"/>
      <c r="G19" s="34"/>
      <c r="H19" s="28"/>
      <c r="I19" s="28"/>
      <c r="J19" s="28"/>
      <c r="K19" s="28"/>
      <c r="L19" s="24"/>
      <c r="M19" s="24"/>
      <c r="N19" s="28"/>
    </row>
    <row r="20" spans="2:14" ht="14" customHeight="1" x14ac:dyDescent="0.25">
      <c r="B20" s="28"/>
      <c r="C20" s="60" t="s">
        <v>106</v>
      </c>
      <c r="D20" s="60" t="s">
        <v>70</v>
      </c>
      <c r="E20" s="28"/>
      <c r="F20" s="28"/>
      <c r="G20" s="34"/>
      <c r="H20" s="28"/>
      <c r="I20" s="28"/>
      <c r="J20" s="28"/>
      <c r="K20" s="28"/>
      <c r="L20" s="24"/>
      <c r="M20" s="24"/>
      <c r="N20" s="28"/>
    </row>
    <row r="21" spans="2:14" ht="187.5" x14ac:dyDescent="0.25">
      <c r="B21" s="28"/>
      <c r="C21" s="60" t="s">
        <v>107</v>
      </c>
      <c r="D21" s="60" t="s">
        <v>71</v>
      </c>
      <c r="E21" s="28"/>
      <c r="F21" s="28"/>
      <c r="G21" s="34"/>
      <c r="H21" s="28"/>
      <c r="I21" s="28"/>
      <c r="J21" s="28"/>
      <c r="K21" s="28"/>
      <c r="L21" s="24"/>
      <c r="M21" s="24"/>
      <c r="N21" s="28"/>
    </row>
    <row r="22" spans="2:14" ht="112.5" x14ac:dyDescent="0.25">
      <c r="B22" s="28"/>
      <c r="C22" s="60" t="s">
        <v>108</v>
      </c>
      <c r="D22" s="60" t="s">
        <v>72</v>
      </c>
      <c r="E22" s="28"/>
      <c r="F22" s="28"/>
      <c r="G22" s="34"/>
      <c r="H22" s="28"/>
      <c r="I22" s="28"/>
      <c r="J22" s="28"/>
      <c r="K22" s="28"/>
      <c r="L22" s="24"/>
      <c r="M22" s="24"/>
      <c r="N22" s="28"/>
    </row>
    <row r="23" spans="2:14" ht="125" x14ac:dyDescent="0.25">
      <c r="B23" s="28"/>
      <c r="C23" s="60" t="s">
        <v>109</v>
      </c>
      <c r="D23" s="60" t="s">
        <v>73</v>
      </c>
      <c r="E23" s="28"/>
      <c r="F23" s="28"/>
      <c r="G23" s="28"/>
      <c r="H23" s="28"/>
      <c r="I23" s="28"/>
      <c r="J23" s="28"/>
      <c r="K23" s="28"/>
      <c r="L23" s="28"/>
      <c r="M23" s="28"/>
      <c r="N23" s="28"/>
    </row>
    <row r="24" spans="2:14" ht="187.5" x14ac:dyDescent="0.25">
      <c r="C24" s="60" t="s">
        <v>110</v>
      </c>
      <c r="D24" s="60" t="s">
        <v>74</v>
      </c>
      <c r="E24" s="28"/>
      <c r="F24" s="28"/>
      <c r="G24" s="28"/>
      <c r="H24" s="28"/>
      <c r="I24" s="28"/>
      <c r="J24" s="28"/>
      <c r="K24" s="28"/>
      <c r="L24" s="28"/>
      <c r="M24" s="28"/>
      <c r="N24" s="28"/>
    </row>
    <row r="25" spans="2:14" ht="125" x14ac:dyDescent="0.25">
      <c r="C25" s="60" t="s">
        <v>111</v>
      </c>
      <c r="D25" s="60" t="s">
        <v>75</v>
      </c>
      <c r="E25" s="28"/>
      <c r="F25" s="28"/>
      <c r="G25" s="28"/>
      <c r="H25" s="28"/>
      <c r="I25" s="28"/>
      <c r="J25" s="28"/>
      <c r="K25" s="28"/>
      <c r="L25" s="28"/>
      <c r="M25" s="28"/>
      <c r="N25" s="28"/>
    </row>
    <row r="26" spans="2:14" ht="87.5" x14ac:dyDescent="0.25">
      <c r="C26" s="60" t="s">
        <v>112</v>
      </c>
      <c r="D26" s="60" t="s">
        <v>76</v>
      </c>
      <c r="E26" s="28"/>
      <c r="F26" s="28"/>
      <c r="G26" s="28"/>
      <c r="H26" s="28"/>
      <c r="I26" s="28"/>
      <c r="J26" s="28"/>
      <c r="K26" s="28"/>
      <c r="L26" s="28"/>
      <c r="M26" s="28"/>
      <c r="N26" s="28"/>
    </row>
    <row r="27" spans="2:14" ht="162.5" x14ac:dyDescent="0.25">
      <c r="C27" s="60" t="s">
        <v>113</v>
      </c>
      <c r="D27" s="60" t="s">
        <v>77</v>
      </c>
      <c r="E27" s="28"/>
      <c r="F27" s="28"/>
      <c r="G27" s="28"/>
      <c r="H27" s="28"/>
      <c r="I27" s="28"/>
      <c r="J27" s="28"/>
      <c r="K27" s="28"/>
      <c r="L27" s="28"/>
      <c r="M27" s="28"/>
      <c r="N27" s="28"/>
    </row>
    <row r="28" spans="2:14" ht="225" x14ac:dyDescent="0.25">
      <c r="C28" s="60" t="s">
        <v>114</v>
      </c>
      <c r="D28" s="60" t="s">
        <v>78</v>
      </c>
      <c r="E28" s="28"/>
      <c r="F28" s="28"/>
      <c r="G28" s="28"/>
      <c r="H28" s="28"/>
      <c r="I28" s="28"/>
      <c r="J28" s="28"/>
      <c r="K28" s="28"/>
      <c r="L28" s="28"/>
      <c r="M28" s="28"/>
      <c r="N28" s="28"/>
    </row>
    <row r="29" spans="2:14" ht="125" x14ac:dyDescent="0.25">
      <c r="C29" s="60" t="s">
        <v>115</v>
      </c>
      <c r="D29" s="60" t="s">
        <v>79</v>
      </c>
      <c r="E29" s="28"/>
      <c r="F29" s="28"/>
      <c r="G29" s="28"/>
      <c r="H29" s="28"/>
      <c r="I29" s="28"/>
      <c r="J29" s="28"/>
      <c r="K29" s="28"/>
      <c r="L29" s="28"/>
      <c r="M29" s="28"/>
      <c r="N29" s="28"/>
    </row>
    <row r="30" spans="2:14" ht="162.5" x14ac:dyDescent="0.25">
      <c r="C30" s="60" t="s">
        <v>116</v>
      </c>
      <c r="D30" s="60" t="s">
        <v>80</v>
      </c>
      <c r="E30" s="28"/>
      <c r="F30" s="28"/>
      <c r="G30" s="28"/>
      <c r="H30" s="28"/>
      <c r="I30" s="28"/>
      <c r="J30" s="28"/>
      <c r="K30" s="28"/>
      <c r="L30" s="28"/>
      <c r="M30" s="28"/>
      <c r="N30" s="28"/>
    </row>
    <row r="31" spans="2:14" ht="175" x14ac:dyDescent="0.25">
      <c r="C31" s="60" t="s">
        <v>117</v>
      </c>
      <c r="D31" s="60" t="s">
        <v>81</v>
      </c>
      <c r="E31" s="28"/>
      <c r="F31" s="28"/>
      <c r="G31" s="28"/>
      <c r="H31" s="28"/>
      <c r="I31" s="28"/>
      <c r="J31" s="28"/>
      <c r="K31" s="28"/>
      <c r="L31" s="28"/>
      <c r="M31" s="28"/>
      <c r="N31" s="28"/>
    </row>
    <row r="32" spans="2:14" ht="125" x14ac:dyDescent="0.25">
      <c r="C32" s="60" t="s">
        <v>118</v>
      </c>
      <c r="D32" s="60" t="s">
        <v>82</v>
      </c>
      <c r="E32" s="28"/>
      <c r="F32" s="28"/>
      <c r="G32" s="28"/>
      <c r="H32" s="28"/>
      <c r="I32" s="28"/>
      <c r="J32" s="28"/>
      <c r="K32" s="28"/>
      <c r="L32" s="28"/>
      <c r="M32" s="28"/>
      <c r="N32" s="28"/>
    </row>
    <row r="33" spans="3:14" ht="200" x14ac:dyDescent="0.25">
      <c r="C33" s="60" t="s">
        <v>119</v>
      </c>
      <c r="D33" s="60" t="s">
        <v>83</v>
      </c>
      <c r="E33" s="28"/>
      <c r="F33" s="28"/>
      <c r="G33" s="28"/>
      <c r="H33" s="28"/>
      <c r="I33" s="28"/>
      <c r="J33" s="28"/>
      <c r="K33" s="28"/>
      <c r="L33" s="28"/>
      <c r="M33" s="28"/>
      <c r="N33" s="28"/>
    </row>
    <row r="34" spans="3:14" ht="75" x14ac:dyDescent="0.25">
      <c r="C34" s="60" t="s">
        <v>120</v>
      </c>
      <c r="D34" s="60" t="s">
        <v>84</v>
      </c>
      <c r="E34" s="28"/>
      <c r="F34" s="28"/>
      <c r="G34" s="28"/>
      <c r="H34" s="28"/>
      <c r="I34" s="28"/>
      <c r="J34" s="28"/>
      <c r="K34" s="28"/>
      <c r="L34" s="28"/>
      <c r="M34" s="28"/>
      <c r="N34" s="28"/>
    </row>
    <row r="35" spans="3:14" ht="150" x14ac:dyDescent="0.25">
      <c r="C35" s="60" t="s">
        <v>121</v>
      </c>
      <c r="D35" s="60" t="s">
        <v>85</v>
      </c>
      <c r="E35" s="1"/>
      <c r="F35" s="28"/>
      <c r="G35" s="34"/>
      <c r="H35" s="28"/>
      <c r="I35" s="28"/>
      <c r="J35" s="28"/>
      <c r="K35" s="28"/>
      <c r="L35" s="28"/>
      <c r="M35" s="28"/>
      <c r="N35" s="28"/>
    </row>
    <row r="36" spans="3:14" ht="75" x14ac:dyDescent="0.25">
      <c r="C36" s="60" t="s">
        <v>122</v>
      </c>
      <c r="D36" s="60" t="s">
        <v>86</v>
      </c>
      <c r="E36" s="28"/>
      <c r="F36" s="28"/>
      <c r="G36" s="28"/>
      <c r="H36" s="28"/>
      <c r="I36" s="28"/>
      <c r="J36" s="28"/>
      <c r="K36" s="28"/>
      <c r="L36" s="28"/>
      <c r="M36" s="28"/>
      <c r="N36" s="28"/>
    </row>
    <row r="37" spans="3:14" ht="100" x14ac:dyDescent="0.25">
      <c r="C37" s="60" t="s">
        <v>123</v>
      </c>
      <c r="D37" s="60" t="s">
        <v>87</v>
      </c>
      <c r="E37" s="28"/>
      <c r="F37" s="28"/>
      <c r="G37" s="28"/>
      <c r="H37" s="28"/>
      <c r="I37" s="28"/>
      <c r="J37" s="28"/>
      <c r="K37" s="28"/>
      <c r="L37" s="28"/>
      <c r="M37" s="28"/>
      <c r="N37" s="28"/>
    </row>
    <row r="38" spans="3:14" ht="137.5" x14ac:dyDescent="0.25">
      <c r="C38" s="60" t="s">
        <v>124</v>
      </c>
      <c r="D38" s="60" t="s">
        <v>88</v>
      </c>
      <c r="E38" s="28"/>
      <c r="F38" s="28"/>
      <c r="G38" s="28"/>
      <c r="H38" s="28"/>
      <c r="I38" s="28"/>
      <c r="J38" s="28"/>
      <c r="K38" s="28"/>
      <c r="L38" s="28"/>
      <c r="M38" s="28"/>
      <c r="N38" s="28"/>
    </row>
    <row r="39" spans="3:14" x14ac:dyDescent="0.25">
      <c r="C39" s="60"/>
      <c r="D39" s="60"/>
      <c r="E39" s="28"/>
      <c r="F39" s="28"/>
      <c r="G39" s="28"/>
      <c r="H39" s="28"/>
      <c r="I39" s="28"/>
      <c r="J39" s="28"/>
      <c r="K39" s="28"/>
      <c r="L39" s="28"/>
      <c r="M39" s="28"/>
      <c r="N39" s="28"/>
    </row>
    <row r="40" spans="3:14" ht="125" x14ac:dyDescent="0.25">
      <c r="C40" s="60" t="s">
        <v>125</v>
      </c>
      <c r="D40" s="60" t="s">
        <v>89</v>
      </c>
    </row>
    <row r="41" spans="3:14" ht="75" x14ac:dyDescent="0.25">
      <c r="C41" s="60" t="s">
        <v>126</v>
      </c>
      <c r="D41" s="60" t="s">
        <v>90</v>
      </c>
    </row>
    <row r="42" spans="3:14" ht="62.5" x14ac:dyDescent="0.25">
      <c r="C42" s="60" t="s">
        <v>127</v>
      </c>
      <c r="D42" s="60" t="s">
        <v>91</v>
      </c>
    </row>
    <row r="43" spans="3:14" ht="87.5" x14ac:dyDescent="0.25">
      <c r="C43" s="60" t="s">
        <v>128</v>
      </c>
      <c r="D43" s="60" t="s">
        <v>92</v>
      </c>
    </row>
    <row r="44" spans="3:14" ht="62.5" x14ac:dyDescent="0.25">
      <c r="C44" s="60" t="s">
        <v>129</v>
      </c>
      <c r="D44" s="60" t="s">
        <v>93</v>
      </c>
    </row>
    <row r="45" spans="3:14" ht="75" x14ac:dyDescent="0.25">
      <c r="C45" s="60" t="s">
        <v>130</v>
      </c>
      <c r="D45" s="60" t="s">
        <v>94</v>
      </c>
    </row>
    <row r="46" spans="3:14" ht="125" x14ac:dyDescent="0.25">
      <c r="C46" s="60" t="s">
        <v>131</v>
      </c>
      <c r="D46" s="60" t="s">
        <v>138</v>
      </c>
    </row>
    <row r="47" spans="3:14" ht="62.5" x14ac:dyDescent="0.25">
      <c r="C47" s="60" t="s">
        <v>132</v>
      </c>
      <c r="D47" s="60" t="s">
        <v>95</v>
      </c>
    </row>
    <row r="48" spans="3:14" ht="212.5" x14ac:dyDescent="0.25">
      <c r="C48" s="60" t="s">
        <v>133</v>
      </c>
      <c r="D48" s="60" t="s">
        <v>96</v>
      </c>
    </row>
    <row r="49" spans="3:4" ht="75" x14ac:dyDescent="0.25">
      <c r="C49" s="60" t="s">
        <v>134</v>
      </c>
      <c r="D49" s="60" t="s">
        <v>137</v>
      </c>
    </row>
  </sheetData>
  <mergeCells count="5">
    <mergeCell ref="D7:K7"/>
    <mergeCell ref="D6:K6"/>
    <mergeCell ref="B4:B7"/>
    <mergeCell ref="D5:K5"/>
    <mergeCell ref="D4:K4"/>
  </mergeCells>
  <conditionalFormatting sqref="G10:G22">
    <cfRule type="cellIs" dxfId="19" priority="58" stopIfTrue="1" operator="equal">
      <formula>"Yes"</formula>
    </cfRule>
    <cfRule type="cellIs" dxfId="18" priority="59" stopIfTrue="1" operator="equal">
      <formula>"Recommendation"</formula>
    </cfRule>
    <cfRule type="cellIs" dxfId="17" priority="60" stopIfTrue="1" operator="equal">
      <formula>"Issue"</formula>
    </cfRule>
  </conditionalFormatting>
  <conditionalFormatting sqref="G35">
    <cfRule type="cellIs" dxfId="16" priority="13" stopIfTrue="1" operator="equal">
      <formula>"Yes"</formula>
    </cfRule>
    <cfRule type="cellIs" dxfId="15" priority="14" stopIfTrue="1" operator="equal">
      <formula>"Recommendation"</formula>
    </cfRule>
    <cfRule type="cellIs" dxfId="14" priority="15" stopIfTrue="1" operator="equal">
      <formula>"Issue"</formula>
    </cfRule>
  </conditionalFormatting>
  <conditionalFormatting sqref="L10:M22">
    <cfRule type="cellIs" dxfId="13" priority="28" stopIfTrue="1" operator="equal">
      <formula>"Yes"</formula>
    </cfRule>
    <cfRule type="cellIs" dxfId="12" priority="29" stopIfTrue="1" operator="equal">
      <formula>"No"</formula>
    </cfRule>
  </conditionalFormatting>
  <conditionalFormatting sqref="D11">
    <cfRule type="expression" dxfId="11" priority="9">
      <formula>$J11="Yes"</formula>
    </cfRule>
    <cfRule type="expression" dxfId="10" priority="10">
      <formula>$J11="Recommendation"</formula>
    </cfRule>
    <cfRule type="expression" dxfId="9" priority="11">
      <formula>$J11="Issue"</formula>
    </cfRule>
    <cfRule type="expression" dxfId="8" priority="12">
      <formula>$J11="Outstanding"</formula>
    </cfRule>
  </conditionalFormatting>
  <conditionalFormatting sqref="D13">
    <cfRule type="expression" dxfId="7" priority="5">
      <formula>$J13="Yes"</formula>
    </cfRule>
    <cfRule type="expression" dxfId="6" priority="6">
      <formula>$J13="Recommendation"</formula>
    </cfRule>
    <cfRule type="expression" dxfId="5" priority="7">
      <formula>$J13="Issue"</formula>
    </cfRule>
    <cfRule type="expression" dxfId="4" priority="8">
      <formula>$J13="Outstanding"</formula>
    </cfRule>
  </conditionalFormatting>
  <conditionalFormatting sqref="C10:C43">
    <cfRule type="expression" dxfId="3" priority="1">
      <formula>$J10="Yes"</formula>
    </cfRule>
    <cfRule type="expression" dxfId="2" priority="2">
      <formula>$J10="Recommendation"</formula>
    </cfRule>
    <cfRule type="expression" dxfId="1" priority="3">
      <formula>$J10="Issue"</formula>
    </cfRule>
    <cfRule type="expression" dxfId="0" priority="4">
      <formula>$J10="Outstanding"</formula>
    </cfRule>
  </conditionalFormatting>
  <dataValidations count="2">
    <dataValidation type="list" allowBlank="1" showInputMessage="1" showErrorMessage="1" sqref="L10:L22" xr:uid="{00000000-0002-0000-0100-000000000000}">
      <formula1>"Yes,No"</formula1>
    </dataValidation>
    <dataValidation type="list" allowBlank="1" showInputMessage="1" showErrorMessage="1" sqref="G10:G22 G35" xr:uid="{00000000-0002-0000-0100-000001000000}">
      <formula1>"Yes,Recommendation,Issue,Outstanding"</formula1>
    </dataValidation>
  </dataValidations>
  <pageMargins left="0.75" right="0.75" top="1" bottom="1" header="0.5" footer="0.5"/>
  <pageSetup paperSize="9" scale="78" orientation="landscape"/>
  <drawing r:id="rId1"/>
</worksheet>
</file>

<file path=docMetadata/LabelInfo.xml><?xml version="1.0" encoding="utf-8"?>
<clbl:labelList xmlns:clbl="http://schemas.microsoft.com/office/2020/mipLabelMetadata">
  <clbl:label id="{c1c05e37-788c-4c59-b50e-5c98323c0a70}" enabled="1" method="Standard" siteId="{8fa217ec-33aa-46fb-ad96-dfe68006bb8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Controls</vt:lpstr>
      <vt:lpstr>AQA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Quality Assurance Template.xls</dc:title>
  <dc:creator>Laura Yardy</dc:creator>
  <cp:lastModifiedBy>Marjan ISLAM (DBT)</cp:lastModifiedBy>
  <dcterms:created xsi:type="dcterms:W3CDTF">2014-02-24T09:13:21Z</dcterms:created>
  <dcterms:modified xsi:type="dcterms:W3CDTF">2026-03-26T12:50:30Z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isplay_urn:schemas-microsoft-com:office:office#Editor">
    <vt:lpwstr>Olivia Julienne</vt:lpwstr>
  </property>
  <property fmtid="{D5CDD505-2E9C-101B-9397-08002B2CF9AE}" pid="3" name="Order">
    <vt:r8>100</vt:r8>
  </property>
  <property fmtid="{D5CDD505-2E9C-101B-9397-08002B2CF9AE}" pid="4" name="display_urn:schemas-microsoft-com:office:office#Author">
    <vt:lpwstr>Olivia Julienne</vt:lpwstr>
  </property>
  <property fmtid="{D5CDD505-2E9C-101B-9397-08002B2CF9AE}" pid="5" name="ContentTypeId">
    <vt:lpwstr>0x010100CD3C0D0223676A4A9310BAFBA3357D6A</vt:lpwstr>
  </property>
  <property fmtid="{D5CDD505-2E9C-101B-9397-08002B2CF9AE}" pid="6" name="Business Unit">
    <vt:lpwstr>5;#Business Forecasting|9b643b33-8bf2-4748-805b-8eaabb3791a1</vt:lpwstr>
  </property>
  <property fmtid="{D5CDD505-2E9C-101B-9397-08002B2CF9AE}" pid="7" name="_dlc_DocIdItemGuid">
    <vt:lpwstr>84a1c02f-b1f1-4fcd-8548-50b779b438c3</vt:lpwstr>
  </property>
  <property fmtid="{D5CDD505-2E9C-101B-9397-08002B2CF9AE}" pid="8" name="MSIP_Label_c1c05e37-788c-4c59-b50e-5c98323c0a70_Enabled">
    <vt:lpwstr>true</vt:lpwstr>
  </property>
  <property fmtid="{D5CDD505-2E9C-101B-9397-08002B2CF9AE}" pid="9" name="MSIP_Label_c1c05e37-788c-4c59-b50e-5c98323c0a70_SetDate">
    <vt:lpwstr>2020-01-16T15:11:07Z</vt:lpwstr>
  </property>
  <property fmtid="{D5CDD505-2E9C-101B-9397-08002B2CF9AE}" pid="10" name="MSIP_Label_c1c05e37-788c-4c59-b50e-5c98323c0a70_Method">
    <vt:lpwstr>Standard</vt:lpwstr>
  </property>
  <property fmtid="{D5CDD505-2E9C-101B-9397-08002B2CF9AE}" pid="11" name="MSIP_Label_c1c05e37-788c-4c59-b50e-5c98323c0a70_Name">
    <vt:lpwstr>OFFICIAL</vt:lpwstr>
  </property>
  <property fmtid="{D5CDD505-2E9C-101B-9397-08002B2CF9AE}" pid="12" name="MSIP_Label_c1c05e37-788c-4c59-b50e-5c98323c0a70_SiteId">
    <vt:lpwstr>8fa217ec-33aa-46fb-ad96-dfe68006bb86</vt:lpwstr>
  </property>
  <property fmtid="{D5CDD505-2E9C-101B-9397-08002B2CF9AE}" pid="13" name="MSIP_Label_c1c05e37-788c-4c59-b50e-5c98323c0a70_ActionId">
    <vt:lpwstr>12c21be6-33eb-4c51-9883-000079db0069</vt:lpwstr>
  </property>
  <property fmtid="{D5CDD505-2E9C-101B-9397-08002B2CF9AE}" pid="14" name="MSIP_Label_c1c05e37-788c-4c59-b50e-5c98323c0a70_ContentBits">
    <vt:lpwstr>0</vt:lpwstr>
  </property>
  <property fmtid="{D5CDD505-2E9C-101B-9397-08002B2CF9AE}" pid="15" name="MediaServiceImageTags">
    <vt:lpwstr/>
  </property>
  <property fmtid="{D5CDD505-2E9C-101B-9397-08002B2CF9AE}" pid="16" name="xd_Signature">
    <vt:bool>false</vt:bool>
  </property>
  <property fmtid="{D5CDD505-2E9C-101B-9397-08002B2CF9AE}" pid="17" name="xd_ProgID">
    <vt:lpwstr/>
  </property>
  <property fmtid="{D5CDD505-2E9C-101B-9397-08002B2CF9AE}" pid="18" name="ComplianceAssetId">
    <vt:lpwstr/>
  </property>
  <property fmtid="{D5CDD505-2E9C-101B-9397-08002B2CF9AE}" pid="19" name="TemplateUrl">
    <vt:lpwstr/>
  </property>
  <property fmtid="{D5CDD505-2E9C-101B-9397-08002B2CF9AE}" pid="20" name="_ExtendedDescription">
    <vt:lpwstr/>
  </property>
  <property fmtid="{D5CDD505-2E9C-101B-9397-08002B2CF9AE}" pid="21" name="TriggerFlowInfo">
    <vt:lpwstr/>
  </property>
  <property fmtid="{D5CDD505-2E9C-101B-9397-08002B2CF9AE}" pid="22" name="Business_x0020_Unit">
    <vt:lpwstr>5;#Business Forecasting|9b643b33-8bf2-4748-805b-8eaabb3791a1</vt:lpwstr>
  </property>
</Properties>
</file>